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Contractors" sheetId="2" state="visible" r:id="rId2"/>
    <sheet name="Homeowners" sheetId="3" state="visible" r:id="rId3"/>
    <sheet name="Pipeline Summary" sheetId="4" state="visible" r:id="rId4"/>
  </sheets>
  <definedNames>
    <definedName name="_xlnm._FilterDatabase" localSheetId="1" hidden="1">'Contractors'!$A$1:$P$1000</definedName>
    <definedName name="_xlnm._FilterDatabase" localSheetId="2" hidden="1">'Homeowners'!$A$1:$O$1000</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8">
    <font>
      <name val="Calibri"/>
      <family val="2"/>
      <color theme="1"/>
      <sz val="11"/>
      <scheme val="minor"/>
    </font>
    <font>
      <name val="Arial"/>
      <b val="1"/>
      <sz val="16"/>
    </font>
    <font>
      <name val="Arial"/>
      <sz val="10"/>
    </font>
    <font>
      <name val="Arial"/>
      <b val="1"/>
      <color rgb="001F3864"/>
      <sz val="13"/>
    </font>
    <font>
      <name val="Arial"/>
      <b val="1"/>
      <sz val="10"/>
    </font>
    <font>
      <name val="Arial"/>
      <b val="1"/>
      <color rgb="00FFFFFF"/>
      <sz val="11"/>
    </font>
    <font>
      <name val="Menlo"/>
      <sz val="11"/>
    </font>
    <font>
      <name val="Arial"/>
      <i val="1"/>
      <color rgb="00595959"/>
      <sz val="10"/>
    </font>
  </fonts>
  <fills count="6">
    <fill>
      <patternFill/>
    </fill>
    <fill>
      <patternFill patternType="gray125"/>
    </fill>
    <fill>
      <patternFill patternType="solid">
        <fgColor rgb="00C6EFCE"/>
      </patternFill>
    </fill>
    <fill>
      <patternFill patternType="solid">
        <fgColor rgb="00FFEB9C"/>
      </patternFill>
    </fill>
    <fill>
      <patternFill patternType="solid">
        <fgColor rgb="00E7E6E6"/>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1" applyAlignment="1" pivotButton="0" quotePrefix="0" xfId="0">
      <alignment horizontal="center" vertical="center"/>
    </xf>
    <xf numFmtId="0" fontId="2" fillId="0" borderId="0" pivotButton="0" quotePrefix="0" xfId="0"/>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5" fillId="5" borderId="1" applyAlignment="1" pivotButton="0" quotePrefix="0" xfId="0">
      <alignment horizontal="left" vertical="center" wrapText="1"/>
    </xf>
    <xf numFmtId="164" fontId="2" fillId="0" borderId="0" pivotButton="0" quotePrefix="0" xfId="0"/>
    <xf numFmtId="0" fontId="6" fillId="0" borderId="0" applyAlignment="1" pivotButton="0" quotePrefix="0" xfId="0">
      <alignment horizontal="right"/>
    </xf>
    <xf numFmtId="165" fontId="6" fillId="0" borderId="0" applyAlignment="1" pivotButton="0" quotePrefix="0" xfId="0">
      <alignment horizontal="right"/>
    </xf>
    <xf numFmtId="0" fontId="7" fillId="0" borderId="0"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14" customWidth="1" min="1" max="1"/>
    <col width="80" customWidth="1" min="2" max="2"/>
  </cols>
  <sheetData>
    <row r="1">
      <c r="A1" s="1" t="inlineStr">
        <is>
          <t>RenovateConnect — Client Outreach Tracker</t>
        </is>
      </c>
    </row>
    <row r="3">
      <c r="A3" s="2" t="inlineStr">
        <is>
          <t>Track potential contractors (supply) and homeowners (demand) we want to reach out to during the launch push. Use the Contractors tab to seed initial supply, the Homeowners tab to seed initial demand, and the Pipeline Summary tab to see counts by status. Update the Status and Last contact columns whenever you talk to someone.</t>
        </is>
      </c>
    </row>
    <row r="4"/>
    <row r="5"/>
    <row r="6"/>
    <row r="8">
      <c r="A8" s="3" t="inlineStr">
        <is>
          <t>Status colors</t>
        </is>
      </c>
    </row>
    <row r="9" ht="22" customHeight="1">
      <c r="A9" s="4" t="inlineStr">
        <is>
          <t>Green</t>
        </is>
      </c>
      <c r="B9" s="5" t="inlineStr">
        <is>
          <t>Won / on platform — Signed up, On platform, Active user</t>
        </is>
      </c>
    </row>
    <row r="10" ht="22" customHeight="1">
      <c r="A10" s="6" t="inlineStr">
        <is>
          <t>Yellow</t>
        </is>
      </c>
      <c r="B10" s="5" t="inlineStr">
        <is>
          <t>In motion — Replied, Demo scheduled, Contacted, Lead</t>
        </is>
      </c>
    </row>
    <row r="11" ht="22" customHeight="1">
      <c r="A11" s="7" t="inlineStr">
        <is>
          <t>Light gray</t>
        </is>
      </c>
      <c r="B11" s="5" t="inlineStr">
        <is>
          <t>Closed lost — Declined, Unresponsive, Churned</t>
        </is>
      </c>
    </row>
    <row r="14">
      <c r="A14" s="3" t="inlineStr">
        <is>
          <t>How to use</t>
        </is>
      </c>
    </row>
    <row r="15">
      <c r="A15" s="5" t="inlineStr">
        <is>
          <t>1. Replace the three example rows on each data tab with real entries (or delete them).</t>
        </is>
      </c>
    </row>
    <row r="16">
      <c r="A16" s="5" t="inlineStr">
        <is>
          <t>2. Status, Specialty, and Source columns have dropdowns — tap the cell to pick.</t>
        </is>
      </c>
    </row>
    <row r="17">
      <c r="A17" s="5" t="inlineStr">
        <is>
          <t>3. Date columns expect dates (MM/DD/YYYY). Empty is fine — just leave blank.</t>
        </is>
      </c>
    </row>
    <row r="18">
      <c r="A18" s="5" t="inlineStr">
        <is>
          <t>4. Pipeline Summary updates automatically as you change Status values.</t>
        </is>
      </c>
    </row>
    <row r="19">
      <c r="A19" s="5" t="inlineStr">
        <is>
          <t>5. Use the auto-filter arrows in the header row to slice by city, source, etc.</t>
        </is>
      </c>
    </row>
  </sheetData>
  <mergeCells count="6">
    <mergeCell ref="A3:F6"/>
    <mergeCell ref="A16:F16"/>
    <mergeCell ref="A19:F19"/>
    <mergeCell ref="A17:F17"/>
    <mergeCell ref="A18:F18"/>
    <mergeCell ref="A15:F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4"/>
  <sheetViews>
    <sheetView workbookViewId="0">
      <pane ySplit="1" topLeftCell="A2" activePane="bottomLeft" state="frozen"/>
      <selection pane="bottomLeft" activeCell="A1" sqref="A1"/>
    </sheetView>
  </sheetViews>
  <sheetFormatPr baseColWidth="8" defaultRowHeight="15"/>
  <cols>
    <col width="24" customWidth="1" min="1" max="1"/>
    <col width="18" customWidth="1" min="2" max="2"/>
    <col width="30" customWidth="1" min="3" max="3"/>
    <col width="16" customWidth="1" min="4" max="4"/>
    <col width="14" customWidth="1" min="5" max="5"/>
    <col width="16" customWidth="1" min="6" max="6"/>
    <col width="7" customWidth="1" min="7" max="7"/>
    <col width="16" customWidth="1" min="8" max="8"/>
    <col width="18" customWidth="1" min="9" max="9"/>
    <col width="18" customWidth="1" min="10" max="10"/>
    <col width="18" customWidth="1" min="11" max="11"/>
    <col width="22" customWidth="1" min="12" max="12"/>
    <col width="38" customWidth="1" min="13" max="13"/>
    <col width="8" customWidth="1" min="14" max="14"/>
    <col width="12" customWidth="1" min="15" max="15"/>
    <col width="18" customWidth="1" min="16" max="16"/>
  </cols>
  <sheetData>
    <row r="1" ht="32" customHeight="1">
      <c r="A1" s="8" t="inlineStr">
        <is>
          <t>Company name</t>
        </is>
      </c>
      <c r="B1" s="8" t="inlineStr">
        <is>
          <t>Contact name</t>
        </is>
      </c>
      <c r="C1" s="8" t="inlineStr">
        <is>
          <t>Email</t>
        </is>
      </c>
      <c r="D1" s="8" t="inlineStr">
        <is>
          <t>Phone</t>
        </is>
      </c>
      <c r="E1" s="8" t="inlineStr">
        <is>
          <t>Specialty</t>
        </is>
      </c>
      <c r="F1" s="8" t="inlineStr">
        <is>
          <t>City</t>
        </is>
      </c>
      <c r="G1" s="8" t="inlineStr">
        <is>
          <t>State</t>
        </is>
      </c>
      <c r="H1" s="8" t="inlineStr">
        <is>
          <t>Source</t>
        </is>
      </c>
      <c r="I1" s="8" t="inlineStr">
        <is>
          <t>Status</t>
        </is>
      </c>
      <c r="J1" s="8" t="inlineStr">
        <is>
          <t>First contact date</t>
        </is>
      </c>
      <c r="K1" s="8" t="inlineStr">
        <is>
          <t>Last contact date</t>
        </is>
      </c>
      <c r="L1" s="8" t="inlineStr">
        <is>
          <t>Next action / follow-up</t>
        </is>
      </c>
      <c r="M1" s="8" t="inlineStr">
        <is>
          <t>Notes</t>
        </is>
      </c>
      <c r="N1" s="8" t="inlineStr">
        <is>
          <t>Years in business</t>
        </is>
      </c>
      <c r="O1" s="8" t="inlineStr">
        <is>
          <t>Has license</t>
        </is>
      </c>
      <c r="P1" s="8" t="inlineStr">
        <is>
          <t>Verified on platform</t>
        </is>
      </c>
    </row>
    <row r="2">
      <c r="A2" s="5" t="inlineStr">
        <is>
          <t>Bright Kitchens LLC</t>
        </is>
      </c>
      <c r="B2" s="5" t="inlineStr">
        <is>
          <t>Maria Lopez</t>
        </is>
      </c>
      <c r="C2" s="5" t="inlineStr">
        <is>
          <t>maria@brightkitchens.example</t>
        </is>
      </c>
      <c r="D2" s="5" t="inlineStr">
        <is>
          <t>(415) 555-0123</t>
        </is>
      </c>
      <c r="E2" s="5" t="inlineStr">
        <is>
          <t>Kitchen</t>
        </is>
      </c>
      <c r="F2" s="5" t="inlineStr">
        <is>
          <t>Oakland</t>
        </is>
      </c>
      <c r="G2" s="5" t="inlineStr">
        <is>
          <t>CA</t>
        </is>
      </c>
      <c r="H2" s="5" t="inlineStr">
        <is>
          <t>Yelp</t>
        </is>
      </c>
      <c r="I2" s="5" t="inlineStr">
        <is>
          <t>Signed up</t>
        </is>
      </c>
      <c r="J2" s="9" t="inlineStr">
        <is>
          <t>2026-06-01</t>
        </is>
      </c>
      <c r="K2" s="9" t="inlineStr">
        <is>
          <t>2026-06-08</t>
        </is>
      </c>
      <c r="L2" s="9" t="inlineStr">
        <is>
          <t>2026-06-15</t>
        </is>
      </c>
      <c r="M2" s="5" t="inlineStr">
        <is>
          <t>(example — delete me) Solid Yelp 4.8 with 60+ reviews. Verified license.</t>
        </is>
      </c>
      <c r="N2" s="5" t="n">
        <v>12</v>
      </c>
      <c r="O2" s="5" t="inlineStr">
        <is>
          <t>Yes</t>
        </is>
      </c>
      <c r="P2" s="5" t="inlineStr">
        <is>
          <t>Yes</t>
        </is>
      </c>
    </row>
    <row r="3">
      <c r="A3" s="5" t="inlineStr">
        <is>
          <t>Northgate Remodels</t>
        </is>
      </c>
      <c r="B3" s="5" t="inlineStr">
        <is>
          <t>James Chen</t>
        </is>
      </c>
      <c r="C3" s="5" t="inlineStr">
        <is>
          <t>james@northgate.example</t>
        </is>
      </c>
      <c r="D3" s="5" t="inlineStr">
        <is>
          <t>(510) 555-0188</t>
        </is>
      </c>
      <c r="E3" s="5" t="inlineStr">
        <is>
          <t>Whole home</t>
        </is>
      </c>
      <c r="F3" s="5" t="inlineStr">
        <is>
          <t>Berkeley</t>
        </is>
      </c>
      <c r="G3" s="5" t="inlineStr">
        <is>
          <t>CA</t>
        </is>
      </c>
      <c r="H3" s="5" t="inlineStr">
        <is>
          <t>Instagram</t>
        </is>
      </c>
      <c r="I3" s="5" t="inlineStr">
        <is>
          <t>Demo scheduled</t>
        </is>
      </c>
      <c r="J3" s="9" t="inlineStr">
        <is>
          <t>2026-06-04</t>
        </is>
      </c>
      <c r="K3" s="9" t="inlineStr">
        <is>
          <t>2026-06-09</t>
        </is>
      </c>
      <c r="L3" s="9" t="inlineStr">
        <is>
          <t>2026-06-12</t>
        </is>
      </c>
      <c r="M3" s="5" t="inlineStr">
        <is>
          <t>(example — delete me) Big IG following, posts before/afters weekly.</t>
        </is>
      </c>
      <c r="N3" s="5" t="n">
        <v>7</v>
      </c>
      <c r="O3" s="5" t="inlineStr">
        <is>
          <t>Yes</t>
        </is>
      </c>
      <c r="P3" s="5" t="inlineStr">
        <is>
          <t>No</t>
        </is>
      </c>
    </row>
    <row r="4">
      <c r="A4" s="5" t="inlineStr">
        <is>
          <t>Tilework by Tom</t>
        </is>
      </c>
      <c r="B4" s="5" t="inlineStr">
        <is>
          <t>Tom Becker</t>
        </is>
      </c>
      <c r="C4" s="5" t="inlineStr">
        <is>
          <t>tom@tilework.example</t>
        </is>
      </c>
      <c r="D4" s="5" t="inlineStr">
        <is>
          <t>(415) 555-0140</t>
        </is>
      </c>
      <c r="E4" s="5" t="inlineStr">
        <is>
          <t>Bathroom</t>
        </is>
      </c>
      <c r="F4" s="5" t="inlineStr">
        <is>
          <t>San Francisco</t>
        </is>
      </c>
      <c r="G4" s="5" t="inlineStr">
        <is>
          <t>CA</t>
        </is>
      </c>
      <c r="H4" s="5" t="inlineStr">
        <is>
          <t>Referral</t>
        </is>
      </c>
      <c r="I4" s="5" t="inlineStr">
        <is>
          <t>Contacted</t>
        </is>
      </c>
      <c r="J4" s="9" t="inlineStr">
        <is>
          <t>2026-06-06</t>
        </is>
      </c>
      <c r="K4" s="9" t="inlineStr">
        <is>
          <t>2026-06-06</t>
        </is>
      </c>
      <c r="L4" s="9" t="inlineStr">
        <is>
          <t>2026-06-13</t>
        </is>
      </c>
      <c r="M4" s="5" t="inlineStr">
        <is>
          <t>(example — delete me) Referred by Jamie. Specializes in custom tile.</t>
        </is>
      </c>
      <c r="N4" s="5" t="n">
        <v>4</v>
      </c>
      <c r="O4" s="5" t="inlineStr">
        <is>
          <t>Yes</t>
        </is>
      </c>
      <c r="P4" s="5" t="inlineStr">
        <is>
          <t>No</t>
        </is>
      </c>
    </row>
  </sheetData>
  <autoFilter ref="A1:P1000"/>
  <conditionalFormatting sqref="I2:I1000">
    <cfRule type="cellIs" priority="1" operator="equal" dxfId="0">
      <formula>"Signed up"</formula>
    </cfRule>
    <cfRule type="cellIs" priority="2" operator="equal" dxfId="0">
      <formula>"On platform"</formula>
    </cfRule>
    <cfRule type="cellIs" priority="3" operator="equal" dxfId="1">
      <formula>"Replied"</formula>
    </cfRule>
    <cfRule type="cellIs" priority="4" operator="equal" dxfId="1">
      <formula>"Demo scheduled"</formula>
    </cfRule>
    <cfRule type="cellIs" priority="5" operator="equal" dxfId="1">
      <formula>"Contacted"</formula>
    </cfRule>
    <cfRule type="cellIs" priority="6" operator="equal" dxfId="2">
      <formula>"Declined"</formula>
    </cfRule>
    <cfRule type="cellIs" priority="7" operator="equal" dxfId="2">
      <formula>"Unresponsive"</formula>
    </cfRule>
  </conditionalFormatting>
  <dataValidations count="5">
    <dataValidation sqref="E2:E1000" showDropDown="0" showInputMessage="0" showErrorMessage="0" allowBlank="1" type="list">
      <formula1>"Kitchen,Bathroom,Whole home,Exterior,Roofing,Flooring,Electrical,Plumbing,Other"</formula1>
    </dataValidation>
    <dataValidation sqref="H2:H1000" showDropDown="0" showInputMessage="0" showErrorMessage="0" allowBlank="1" type="list">
      <formula1>"Yelp,Google,Instagram,Referral,Cold outreach,In-person,Other"</formula1>
    </dataValidation>
    <dataValidation sqref="I2:I1000" showDropDown="0" showInputMessage="0" showErrorMessage="0" allowBlank="1" type="list">
      <formula1>"Not contacted,Contacted,Replied,Demo scheduled,Signed up,On platform,Declined,Unresponsive"</formula1>
    </dataValidation>
    <dataValidation sqref="O2:O1000" showDropDown="0" showInputMessage="0" showErrorMessage="0" allowBlank="1" type="list">
      <formula1>"Yes,No"</formula1>
    </dataValidation>
    <dataValidation sqref="P2:P1000"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16" customWidth="1" min="3" max="3"/>
    <col width="16" customWidth="1" min="4" max="4"/>
    <col width="7" customWidth="1" min="5" max="5"/>
    <col width="16" customWidth="1" min="6" max="6"/>
    <col width="14" customWidth="1" min="7" max="7"/>
    <col width="16" customWidth="1" min="8" max="8"/>
    <col width="16" customWidth="1" min="9" max="9"/>
    <col width="18" customWidth="1" min="10" max="10"/>
    <col width="18" customWidth="1" min="11" max="11"/>
    <col width="22" customWidth="1" min="12" max="12"/>
    <col width="16" customWidth="1" min="13" max="13"/>
    <col width="12" customWidth="1" min="14" max="14"/>
    <col width="38" customWidth="1" min="15" max="15"/>
  </cols>
  <sheetData>
    <row r="1" ht="32" customHeight="1">
      <c r="A1" s="8" t="inlineStr">
        <is>
          <t>Name</t>
        </is>
      </c>
      <c r="B1" s="8" t="inlineStr">
        <is>
          <t>Email</t>
        </is>
      </c>
      <c r="C1" s="8" t="inlineStr">
        <is>
          <t>Phone</t>
        </is>
      </c>
      <c r="D1" s="8" t="inlineStr">
        <is>
          <t>City</t>
        </is>
      </c>
      <c r="E1" s="8" t="inlineStr">
        <is>
          <t>State</t>
        </is>
      </c>
      <c r="F1" s="8" t="inlineStr">
        <is>
          <t>Project interest</t>
        </is>
      </c>
      <c r="G1" s="8" t="inlineStr">
        <is>
          <t>Estimated budget</t>
        </is>
      </c>
      <c r="H1" s="8" t="inlineStr">
        <is>
          <t>Source</t>
        </is>
      </c>
      <c r="I1" s="8" t="inlineStr">
        <is>
          <t>Status</t>
        </is>
      </c>
      <c r="J1" s="8" t="inlineStr">
        <is>
          <t>First contact date</t>
        </is>
      </c>
      <c r="K1" s="8" t="inlineStr">
        <is>
          <t>Last contact date</t>
        </is>
      </c>
      <c r="L1" s="8" t="inlineStr">
        <is>
          <t>Project request posted</t>
        </is>
      </c>
      <c r="M1" s="8" t="inlineStr">
        <is>
          <t>Quote received</t>
        </is>
      </c>
      <c r="N1" s="8" t="inlineStr">
        <is>
          <t>Deposit paid</t>
        </is>
      </c>
      <c r="O1" s="8" t="inlineStr">
        <is>
          <t>Notes</t>
        </is>
      </c>
    </row>
    <row r="2">
      <c r="A2" s="5" t="inlineStr">
        <is>
          <t>Jamie Rivera</t>
        </is>
      </c>
      <c r="B2" s="5" t="inlineStr">
        <is>
          <t>jamie@example.com</t>
        </is>
      </c>
      <c r="C2" s="5" t="inlineStr">
        <is>
          <t>(415) 555-0210</t>
        </is>
      </c>
      <c r="D2" s="5" t="inlineStr">
        <is>
          <t>Oakland</t>
        </is>
      </c>
      <c r="E2" s="5" t="inlineStr">
        <is>
          <t>CA</t>
        </is>
      </c>
      <c r="F2" s="5" t="inlineStr">
        <is>
          <t>Kitchen</t>
        </is>
      </c>
      <c r="G2" s="5" t="inlineStr">
        <is>
          <t>$50-100k</t>
        </is>
      </c>
      <c r="H2" s="5" t="inlineStr">
        <is>
          <t>Friend</t>
        </is>
      </c>
      <c r="I2" s="5" t="inlineStr">
        <is>
          <t>Active user</t>
        </is>
      </c>
      <c r="J2" s="9" t="inlineStr">
        <is>
          <t>2026-06-02</t>
        </is>
      </c>
      <c r="K2" s="9" t="inlineStr">
        <is>
          <t>2026-06-09</t>
        </is>
      </c>
      <c r="L2" s="5" t="inlineStr">
        <is>
          <t>Yes</t>
        </is>
      </c>
      <c r="M2" s="5" t="inlineStr">
        <is>
          <t>Yes</t>
        </is>
      </c>
      <c r="N2" s="5" t="inlineStr">
        <is>
          <t>Yes</t>
        </is>
      </c>
      <c r="O2" s="5" t="inlineStr">
        <is>
          <t>(example — delete me) Hired Bright Kitchens, milestone 1 funded.</t>
        </is>
      </c>
    </row>
    <row r="3">
      <c r="A3" s="5" t="inlineStr">
        <is>
          <t>Priya Patel</t>
        </is>
      </c>
      <c r="B3" s="5" t="inlineStr">
        <is>
          <t>priya@example.com</t>
        </is>
      </c>
      <c r="C3" s="5" t="inlineStr">
        <is>
          <t>(510) 555-0277</t>
        </is>
      </c>
      <c r="D3" s="5" t="inlineStr">
        <is>
          <t>Berkeley</t>
        </is>
      </c>
      <c r="E3" s="5" t="inlineStr">
        <is>
          <t>CA</t>
        </is>
      </c>
      <c r="F3" s="5" t="inlineStr">
        <is>
          <t>Bathroom</t>
        </is>
      </c>
      <c r="G3" s="5" t="inlineStr">
        <is>
          <t>$15-50k</t>
        </is>
      </c>
      <c r="H3" s="5" t="inlineStr">
        <is>
          <t>Referral</t>
        </is>
      </c>
      <c r="I3" s="5" t="inlineStr">
        <is>
          <t>Contacted</t>
        </is>
      </c>
      <c r="J3" s="9" t="inlineStr">
        <is>
          <t>2026-06-05</t>
        </is>
      </c>
      <c r="K3" s="9" t="inlineStr">
        <is>
          <t>2026-06-09</t>
        </is>
      </c>
      <c r="L3" s="5" t="inlineStr">
        <is>
          <t>Yes</t>
        </is>
      </c>
      <c r="M3" s="5" t="inlineStr">
        <is>
          <t>No</t>
        </is>
      </c>
      <c r="N3" s="5" t="inlineStr">
        <is>
          <t>No</t>
        </is>
      </c>
      <c r="O3" s="5" t="inlineStr">
        <is>
          <t>(example — delete me) Wants 3 quotes by end of month.</t>
        </is>
      </c>
    </row>
    <row r="4">
      <c r="A4" s="5" t="inlineStr">
        <is>
          <t>Sam Brooks</t>
        </is>
      </c>
      <c r="B4" s="5" t="inlineStr">
        <is>
          <t>sam@example.com</t>
        </is>
      </c>
      <c r="C4" s="5" t="inlineStr">
        <is>
          <t>(415) 555-0354</t>
        </is>
      </c>
      <c r="D4" s="5" t="inlineStr">
        <is>
          <t>San Francisco</t>
        </is>
      </c>
      <c r="E4" s="5" t="inlineStr">
        <is>
          <t>CA</t>
        </is>
      </c>
      <c r="F4" s="5" t="inlineStr">
        <is>
          <t>Just browsing</t>
        </is>
      </c>
      <c r="G4" s="5" t="inlineStr">
        <is>
          <t>Unknown</t>
        </is>
      </c>
      <c r="H4" s="5" t="inlineStr">
        <is>
          <t>Social media</t>
        </is>
      </c>
      <c r="I4" s="5" t="inlineStr">
        <is>
          <t>Lead</t>
        </is>
      </c>
      <c r="J4" s="9" t="inlineStr">
        <is>
          <t>2026-06-07</t>
        </is>
      </c>
      <c r="K4" s="9" t="inlineStr">
        <is>
          <t>2026-06-07</t>
        </is>
      </c>
      <c r="L4" s="5" t="inlineStr">
        <is>
          <t>No</t>
        </is>
      </c>
      <c r="M4" s="5" t="inlineStr">
        <is>
          <t>No</t>
        </is>
      </c>
      <c r="N4" s="5" t="inlineStr">
        <is>
          <t>No</t>
        </is>
      </c>
      <c r="O4" s="5" t="inlineStr">
        <is>
          <t>(example — delete me) Followed our IG, no project yet.</t>
        </is>
      </c>
    </row>
  </sheetData>
  <autoFilter ref="A1:O1000"/>
  <conditionalFormatting sqref="I2:I1000">
    <cfRule type="cellIs" priority="1" operator="equal" dxfId="0">
      <formula>"Active user"</formula>
    </cfRule>
    <cfRule type="cellIs" priority="2" operator="equal" dxfId="0">
      <formula>"Signed up"</formula>
    </cfRule>
    <cfRule type="cellIs" priority="3" operator="equal" dxfId="1">
      <formula>"Contacted"</formula>
    </cfRule>
    <cfRule type="cellIs" priority="4" operator="equal" dxfId="1">
      <formula>"Lead"</formula>
    </cfRule>
    <cfRule type="cellIs" priority="5" operator="equal" dxfId="2">
      <formula>"Churned"</formula>
    </cfRule>
    <cfRule type="cellIs" priority="6" operator="equal" dxfId="2">
      <formula>"Declined"</formula>
    </cfRule>
  </conditionalFormatting>
  <dataValidations count="7">
    <dataValidation sqref="F2:F1000" showDropDown="0" showInputMessage="0" showErrorMessage="0" allowBlank="1" type="list">
      <formula1>"Kitchen,Bathroom,Whole home,Exterior,Multiple,Just browsing"</formula1>
    </dataValidation>
    <dataValidation sqref="G2:G1000" showDropDown="0" showInputMessage="0" showErrorMessage="0" allowBlank="1" type="list">
      <formula1>"&lt;$5k,$5-15k,$15-50k,$50-100k,$100k+,Unknown"</formula1>
    </dataValidation>
    <dataValidation sqref="H2:H1000" showDropDown="0" showInputMessage="0" showErrorMessage="0" allowBlank="1" type="list">
      <formula1>"Referral,Friend,Social media,Cold outreach,Inbound,Other"</formula1>
    </dataValidation>
    <dataValidation sqref="I2:I1000" showDropDown="0" showInputMessage="0" showErrorMessage="0" allowBlank="1" type="list">
      <formula1>"Lead,Contacted,Signed up,Active user,Churned,Declined"</formula1>
    </dataValidation>
    <dataValidation sqref="L2:L1000" showDropDown="0" showInputMessage="0" showErrorMessage="0" allowBlank="1" type="list">
      <formula1>"Yes,No"</formula1>
    </dataValidation>
    <dataValidation sqref="M2:M1000" showDropDown="0" showInputMessage="0" showErrorMessage="0" allowBlank="1" type="list">
      <formula1>"Yes,No"</formula1>
    </dataValidation>
    <dataValidation sqref="N2:N1000"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0"/>
  <sheetViews>
    <sheetView showGridLines="0" workbookViewId="0">
      <selection activeCell="A1" sqref="A1"/>
    </sheetView>
  </sheetViews>
  <sheetFormatPr baseColWidth="8" defaultRowHeight="15"/>
  <cols>
    <col width="40" customWidth="1" min="1" max="1"/>
    <col width="14" customWidth="1" min="2" max="2"/>
  </cols>
  <sheetData>
    <row r="1">
      <c r="A1" s="1" t="inlineStr">
        <is>
          <t>Pipeline Summary</t>
        </is>
      </c>
    </row>
    <row r="3">
      <c r="A3" s="3" t="inlineStr">
        <is>
          <t>Contractors</t>
        </is>
      </c>
    </row>
    <row r="4">
      <c r="A4" s="5" t="inlineStr">
        <is>
          <t>Total in pipeline</t>
        </is>
      </c>
      <c r="B4" s="10">
        <f>COUNTA(Contractors!A2:A1000)</f>
        <v/>
      </c>
    </row>
    <row r="5">
      <c r="A5" s="5" t="inlineStr">
        <is>
          <t>Not yet contacted</t>
        </is>
      </c>
      <c r="B5" s="10">
        <f>COUNTIF(Contractors!I2:I1000,"Not contacted")</f>
        <v/>
      </c>
    </row>
    <row r="6">
      <c r="A6" s="5" t="inlineStr">
        <is>
          <t>Contacted or further</t>
        </is>
      </c>
      <c r="B6" s="10">
        <f>COUNTA(Contractors!I2:I1000)-COUNTIF(Contractors!I2:I1000,"Not contacted")</f>
        <v/>
      </c>
    </row>
    <row r="7">
      <c r="A7" s="5" t="inlineStr">
        <is>
          <t>Replied or further</t>
        </is>
      </c>
      <c r="B7" s="10">
        <f>COUNTIF(Contractors!I2:I1000,"Replied")+COUNTIF(Contractors!I2:I1000,"Demo scheduled")+COUNTIF(Contractors!I2:I1000,"Signed up")+COUNTIF(Contractors!I2:I1000,"On platform")</f>
        <v/>
      </c>
    </row>
    <row r="8">
      <c r="A8" s="5" t="inlineStr">
        <is>
          <t>Signed up + on platform</t>
        </is>
      </c>
      <c r="B8" s="10">
        <f>COUNTIF(Contractors!I2:I1000,"Signed up")+COUNTIF(Contractors!I2:I1000,"On platform")</f>
        <v/>
      </c>
    </row>
    <row r="9">
      <c r="A9" s="5" t="inlineStr">
        <is>
          <t>Declined / unresponsive</t>
        </is>
      </c>
      <c r="B9" s="10">
        <f>COUNTIF(Contractors!I2:I1000,"Declined")+COUNTIF(Contractors!I2:I1000,"Unresponsive")</f>
        <v/>
      </c>
    </row>
    <row r="10">
      <c r="A10" s="5" t="inlineStr">
        <is>
          <t>Conversion rate (signed ÷ contacted)</t>
        </is>
      </c>
      <c r="B10" s="11">
        <f>IFERROR((COUNTIF(Contractors!I2:I1000,"Signed up")+COUNTIF(Contractors!I2:I1000,"On platform"))/(COUNTA(Contractors!I2:I1000)-COUNTIF(Contractors!I2:I1000,"Not contacted")),0)</f>
        <v/>
      </c>
    </row>
    <row r="12">
      <c r="A12" s="3" t="inlineStr">
        <is>
          <t>Homeowners</t>
        </is>
      </c>
    </row>
    <row r="13">
      <c r="A13" s="5" t="inlineStr">
        <is>
          <t>Total leads</t>
        </is>
      </c>
      <c r="B13" s="10">
        <f>COUNTA(Homeowners!A2:A1000)</f>
        <v/>
      </c>
    </row>
    <row r="14">
      <c r="A14" s="5" t="inlineStr">
        <is>
          <t>Contacted or further</t>
        </is>
      </c>
      <c r="B14" s="10">
        <f>COUNTA(Homeowners!I2:I1000)-COUNTIF(Homeowners!I2:I1000,"Lead")</f>
        <v/>
      </c>
    </row>
    <row r="15">
      <c r="A15" s="5" t="inlineStr">
        <is>
          <t>Signed up or active</t>
        </is>
      </c>
      <c r="B15" s="10">
        <f>COUNTIF(Homeowners!I2:I1000,"Signed up")+COUNTIF(Homeowners!I2:I1000,"Active user")</f>
        <v/>
      </c>
    </row>
    <row r="16">
      <c r="A16" s="5" t="inlineStr">
        <is>
          <t>First deposit paid</t>
        </is>
      </c>
      <c r="B16" s="10">
        <f>COUNTIF(Homeowners!N2:N1000,"Yes")</f>
        <v/>
      </c>
    </row>
    <row r="17">
      <c r="A17" s="5" t="inlineStr">
        <is>
          <t>Conversion rate (active ÷ leads)</t>
        </is>
      </c>
      <c r="B17" s="11">
        <f>IFERROR((COUNTIF(Homeowners!I2:I1000,"Signed up")+COUNTIF(Homeowners!I2:I1000,"Active user"))/COUNTA(Homeowners!A2:A1000),0)</f>
        <v/>
      </c>
    </row>
    <row r="20">
      <c r="A20" s="12" t="inlineStr">
        <is>
          <t>Counts update live as you change Status values on the data tabs.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2026-06-15T04:33:39Z</dcterms:created>
  <dcterms:modified xsi:type="dcterms:W3CDTF">2026-06-15T04:33:39Z</dcterms:modified>
</cp:coreProperties>
</file>