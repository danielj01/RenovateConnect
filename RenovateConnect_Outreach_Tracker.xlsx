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ntractors" sheetId="2" state="visible" r:id="rId2"/>
    <sheet name="Homeowners" sheetId="3" state="visible" r:id="rId3"/>
    <sheet name="Outreach Scripts" sheetId="4" state="visible" r:id="rId4"/>
    <sheet name="Pipeline Summary" sheetId="5" state="visible" r:id="rId5"/>
  </sheets>
  <definedNames>
    <definedName name="_xlnm._FilterDatabase" localSheetId="1" hidden="1">'Contractors'!$A$1:$P$1000</definedName>
    <definedName name="_xlnm._FilterDatabase" localSheetId="2" hidden="1">'Homeowners'!$A$1:$O$1000</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0">
    <font>
      <name val="Calibri"/>
      <family val="2"/>
      <color theme="1"/>
      <sz val="11"/>
      <scheme val="minor"/>
    </font>
    <font>
      <name val="Arial"/>
      <b val="1"/>
      <sz val="16"/>
    </font>
    <font>
      <name val="Arial"/>
      <sz val="10"/>
    </font>
    <font>
      <name val="Arial"/>
      <b val="1"/>
      <color rgb="001F3864"/>
      <sz val="13"/>
    </font>
    <font>
      <name val="Arial"/>
      <b val="1"/>
      <sz val="10"/>
    </font>
    <font>
      <name val="Arial"/>
      <b val="1"/>
      <color rgb="00FFFFFF"/>
      <sz val="11"/>
    </font>
    <font>
      <name val="Menlo"/>
      <sz val="11"/>
    </font>
    <font>
      <name val="Arial"/>
      <i val="1"/>
      <color rgb="00595959"/>
      <sz val="10"/>
    </font>
    <font>
      <name val="Arial"/>
      <b val="1"/>
      <sz val="11"/>
    </font>
    <font>
      <name val="Arial"/>
      <color rgb="00333333"/>
      <sz val="10"/>
    </font>
  </fonts>
  <fills count="6">
    <fill>
      <patternFill/>
    </fill>
    <fill>
      <patternFill patternType="gray125"/>
    </fill>
    <fill>
      <patternFill patternType="solid">
        <fgColor rgb="00C6EFCE"/>
      </patternFill>
    </fill>
    <fill>
      <patternFill patternType="solid">
        <fgColor rgb="00FFEB9C"/>
      </patternFill>
    </fill>
    <fill>
      <patternFill patternType="solid">
        <fgColor rgb="00E7E6E6"/>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xf>
    <xf numFmtId="0" fontId="2" fillId="0" borderId="0" pivotButton="0" quotePrefix="0" xfId="0"/>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left" vertical="center" wrapText="1"/>
    </xf>
    <xf numFmtId="164" fontId="2" fillId="0" borderId="0" pivotButton="0" quotePrefix="0" xfId="0"/>
    <xf numFmtId="0" fontId="6" fillId="0" borderId="0" applyAlignment="1" pivotButton="0" quotePrefix="0" xfId="0">
      <alignment horizontal="right"/>
    </xf>
    <xf numFmtId="165" fontId="6" fillId="0" borderId="0" applyAlignment="1" pivotButton="0" quotePrefix="0" xfId="0">
      <alignment horizontal="right"/>
    </xf>
    <xf numFmtId="0" fontId="7" fillId="0" borderId="0" pivotButton="0" quotePrefix="0" xfId="0"/>
    <xf numFmtId="0" fontId="2" fillId="0" borderId="0" applyAlignment="1" pivotButton="0" quotePrefix="0" xfId="0">
      <alignment vertical="top"/>
    </xf>
    <xf numFmtId="164" fontId="2" fillId="0" borderId="0" applyAlignment="1" pivotButton="0" quotePrefix="0" xfId="0">
      <alignment vertical="top"/>
    </xf>
    <xf numFmtId="0" fontId="1" fillId="0" borderId="0" applyAlignment="1" pivotButton="0" quotePrefix="0" xfId="0">
      <alignment vertical="top" wrapText="1"/>
    </xf>
    <xf numFmtId="0" fontId="3"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14" customWidth="1" min="1" max="1"/>
    <col width="80" customWidth="1" min="2" max="2"/>
  </cols>
  <sheetData>
    <row r="1">
      <c r="A1" s="1" t="inlineStr">
        <is>
          <t>RenovateConnect — Client Outreach Tracker</t>
        </is>
      </c>
    </row>
    <row r="3">
      <c r="A3" s="2" t="inlineStr">
        <is>
          <t>Track potential contractors (supply) and homeowners (demand) we want to reach out to during the launch push. Use the Contractors tab to seed initial supply, the Homeowners tab to seed initial demand, and the Pipeline Summary tab to see counts by status. Update the Status and Last contact columns whenever you talk to someone.</t>
        </is>
      </c>
    </row>
    <row r="4"/>
    <row r="5"/>
    <row r="6"/>
    <row r="8">
      <c r="A8" s="3" t="inlineStr">
        <is>
          <t>Status colors</t>
        </is>
      </c>
    </row>
    <row r="9" ht="22" customHeight="1">
      <c r="A9" s="4" t="inlineStr">
        <is>
          <t>Green</t>
        </is>
      </c>
      <c r="B9" s="5" t="inlineStr">
        <is>
          <t>Won / on platform — Signed up, On platform, Active user</t>
        </is>
      </c>
    </row>
    <row r="10" ht="22" customHeight="1">
      <c r="A10" s="6" t="inlineStr">
        <is>
          <t>Yellow</t>
        </is>
      </c>
      <c r="B10" s="5" t="inlineStr">
        <is>
          <t>In motion — Replied, Demo scheduled, Contacted, Lead</t>
        </is>
      </c>
    </row>
    <row r="11" ht="22" customHeight="1">
      <c r="A11" s="7" t="inlineStr">
        <is>
          <t>Light gray</t>
        </is>
      </c>
      <c r="B11" s="5" t="inlineStr">
        <is>
          <t>Closed lost — Declined, Unresponsive, Churned</t>
        </is>
      </c>
    </row>
    <row r="14">
      <c r="A14" s="3" t="inlineStr">
        <is>
          <t>How to use</t>
        </is>
      </c>
    </row>
    <row r="15">
      <c r="A15" s="5" t="inlineStr">
        <is>
          <t>1. Replace the three example rows on each data tab with real entries (or delete them).</t>
        </is>
      </c>
    </row>
    <row r="16">
      <c r="A16" s="5" t="inlineStr">
        <is>
          <t>2. Status, Specialty, and Source columns have dropdowns — tap the cell to pick.</t>
        </is>
      </c>
    </row>
    <row r="17">
      <c r="A17" s="5" t="inlineStr">
        <is>
          <t>3. Date columns expect dates (MM/DD/YYYY). Empty is fine — just leave blank.</t>
        </is>
      </c>
    </row>
    <row r="18">
      <c r="A18" s="5" t="inlineStr">
        <is>
          <t>4. Pipeline Summary updates automatically as you change Status values.</t>
        </is>
      </c>
    </row>
    <row r="19">
      <c r="A19" s="5" t="inlineStr">
        <is>
          <t>5. Use the auto-filter arrows in the header row to slice by city, source, etc.</t>
        </is>
      </c>
    </row>
  </sheetData>
  <mergeCells count="6">
    <mergeCell ref="A3:F6"/>
    <mergeCell ref="A16:F16"/>
    <mergeCell ref="A19:F19"/>
    <mergeCell ref="A17:F17"/>
    <mergeCell ref="A18:F18"/>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30" customWidth="1" min="3" max="3"/>
    <col width="16" customWidth="1" min="4" max="4"/>
    <col width="14" customWidth="1" min="5" max="5"/>
    <col width="16" customWidth="1" min="6" max="6"/>
    <col width="7" customWidth="1" min="7" max="7"/>
    <col width="16" customWidth="1" min="8" max="8"/>
    <col width="18" customWidth="1" min="9" max="9"/>
    <col width="18" customWidth="1" min="10" max="10"/>
    <col width="18" customWidth="1" min="11" max="11"/>
    <col width="22" customWidth="1" min="12" max="12"/>
    <col width="38" customWidth="1" min="13" max="13"/>
    <col width="8" customWidth="1" min="14" max="14"/>
    <col width="12" customWidth="1" min="15" max="15"/>
    <col width="18" customWidth="1" min="16" max="16"/>
  </cols>
  <sheetData>
    <row r="1" ht="32" customHeight="1">
      <c r="A1" s="8" t="inlineStr">
        <is>
          <t>Company name</t>
        </is>
      </c>
      <c r="B1" s="8" t="inlineStr">
        <is>
          <t>Contact name</t>
        </is>
      </c>
      <c r="C1" s="8" t="inlineStr">
        <is>
          <t>Email</t>
        </is>
      </c>
      <c r="D1" s="8" t="inlineStr">
        <is>
          <t>Phone</t>
        </is>
      </c>
      <c r="E1" s="8" t="inlineStr">
        <is>
          <t>Specialty</t>
        </is>
      </c>
      <c r="F1" s="8" t="inlineStr">
        <is>
          <t>City</t>
        </is>
      </c>
      <c r="G1" s="8" t="inlineStr">
        <is>
          <t>State</t>
        </is>
      </c>
      <c r="H1" s="8" t="inlineStr">
        <is>
          <t>Source</t>
        </is>
      </c>
      <c r="I1" s="8" t="inlineStr">
        <is>
          <t>Status</t>
        </is>
      </c>
      <c r="J1" s="8" t="inlineStr">
        <is>
          <t>First contact date</t>
        </is>
      </c>
      <c r="K1" s="8" t="inlineStr">
        <is>
          <t>Last contact date</t>
        </is>
      </c>
      <c r="L1" s="8" t="inlineStr">
        <is>
          <t>Next action / follow-up</t>
        </is>
      </c>
      <c r="M1" s="8" t="inlineStr">
        <is>
          <t>Notes</t>
        </is>
      </c>
      <c r="N1" s="8" t="inlineStr">
        <is>
          <t>Years in business</t>
        </is>
      </c>
      <c r="O1" s="8" t="inlineStr">
        <is>
          <t>Has license</t>
        </is>
      </c>
      <c r="P1" s="8" t="inlineStr">
        <is>
          <t>Verified on platform</t>
        </is>
      </c>
    </row>
    <row r="2">
      <c r="A2" s="13" t="inlineStr">
        <is>
          <t>North Bay Construction</t>
        </is>
      </c>
      <c r="B2" s="13" t="inlineStr"/>
      <c r="C2" s="13" t="inlineStr"/>
      <c r="D2" s="13" t="inlineStr"/>
      <c r="E2" s="13" t="inlineStr">
        <is>
          <t>Whole home</t>
        </is>
      </c>
      <c r="F2" s="13" t="inlineStr">
        <is>
          <t>Santa Rosa</t>
        </is>
      </c>
      <c r="G2" s="13" t="inlineStr">
        <is>
          <t>CA</t>
        </is>
      </c>
      <c r="H2" s="13" t="inlineStr">
        <is>
          <t>Other</t>
        </is>
      </c>
      <c r="I2" s="13" t="inlineStr">
        <is>
          <t>Not contacted</t>
        </is>
      </c>
      <c r="J2" s="14" t="inlineStr"/>
      <c r="K2" s="14" t="inlineStr"/>
      <c r="L2" s="14" t="inlineStr"/>
      <c r="M2" s="2" t="inlineStr">
        <is>
          <t>GC, award-winning, established. Verify contact on site/CSLB.</t>
        </is>
      </c>
      <c r="N2" s="13" t="inlineStr"/>
      <c r="O2" s="13" t="inlineStr"/>
      <c r="P2" s="13" t="inlineStr">
        <is>
          <t>No</t>
        </is>
      </c>
    </row>
    <row r="3">
      <c r="A3" s="13" t="inlineStr">
        <is>
          <t>Inspired Builders Inc.</t>
        </is>
      </c>
      <c r="B3" s="13" t="inlineStr"/>
      <c r="C3" s="13" t="inlineStr"/>
      <c r="D3" s="13" t="inlineStr"/>
      <c r="E3" s="13" t="inlineStr">
        <is>
          <t>Whole home</t>
        </is>
      </c>
      <c r="F3" s="13" t="inlineStr">
        <is>
          <t>San Francisco</t>
        </is>
      </c>
      <c r="G3" s="13" t="inlineStr">
        <is>
          <t>CA</t>
        </is>
      </c>
      <c r="H3" s="13" t="inlineStr">
        <is>
          <t>Other</t>
        </is>
      </c>
      <c r="I3" s="13" t="inlineStr">
        <is>
          <t>Not contacted</t>
        </is>
      </c>
      <c r="J3" s="14" t="inlineStr"/>
      <c r="K3" s="14" t="inlineStr"/>
      <c r="L3" s="14" t="inlineStr"/>
      <c r="M3" s="2" t="inlineStr">
        <is>
          <t>Design-build GC, strong customer-service reputation. Verify contact.</t>
        </is>
      </c>
      <c r="N3" s="13" t="inlineStr"/>
      <c r="O3" s="13" t="inlineStr"/>
      <c r="P3" s="13" t="inlineStr">
        <is>
          <t>No</t>
        </is>
      </c>
    </row>
    <row r="4">
      <c r="A4" s="13" t="inlineStr">
        <is>
          <t>Mayer's Construction &amp; Remodeling</t>
        </is>
      </c>
      <c r="B4" s="13" t="inlineStr"/>
      <c r="C4" s="13" t="inlineStr"/>
      <c r="D4" s="13" t="inlineStr"/>
      <c r="E4" s="13" t="inlineStr">
        <is>
          <t>Whole home</t>
        </is>
      </c>
      <c r="F4" s="13" t="inlineStr">
        <is>
          <t>San Francisco</t>
        </is>
      </c>
      <c r="G4" s="13" t="inlineStr">
        <is>
          <t>CA</t>
        </is>
      </c>
      <c r="H4" s="13" t="inlineStr">
        <is>
          <t>Other</t>
        </is>
      </c>
      <c r="I4" s="13" t="inlineStr">
        <is>
          <t>Not contacted</t>
        </is>
      </c>
      <c r="J4" s="14" t="inlineStr"/>
      <c r="K4" s="14" t="inlineStr"/>
      <c r="L4" s="14" t="inlineStr"/>
      <c r="M4" s="2" t="inlineStr">
        <is>
          <t>Remodel GC, 40+ yrs. Verify contact.</t>
        </is>
      </c>
      <c r="N4" s="13" t="n">
        <v>40</v>
      </c>
      <c r="O4" s="13" t="inlineStr"/>
      <c r="P4" s="13" t="inlineStr">
        <is>
          <t>No</t>
        </is>
      </c>
    </row>
    <row r="5">
      <c r="A5" s="13" t="inlineStr">
        <is>
          <t>Bay Home Remodeling</t>
        </is>
      </c>
      <c r="B5" s="13" t="inlineStr"/>
      <c r="C5" s="13" t="inlineStr"/>
      <c r="D5" s="13" t="inlineStr"/>
      <c r="E5" s="13" t="inlineStr">
        <is>
          <t>Whole home</t>
        </is>
      </c>
      <c r="F5" s="13" t="inlineStr">
        <is>
          <t>San Francisco</t>
        </is>
      </c>
      <c r="G5" s="13" t="inlineStr">
        <is>
          <t>CA</t>
        </is>
      </c>
      <c r="H5" s="13" t="inlineStr">
        <is>
          <t>Other</t>
        </is>
      </c>
      <c r="I5" s="13" t="inlineStr">
        <is>
          <t>Not contacted</t>
        </is>
      </c>
      <c r="J5" s="13" t="inlineStr"/>
      <c r="K5" s="13" t="inlineStr"/>
      <c r="L5" s="13" t="inlineStr"/>
      <c r="M5" s="2" t="inlineStr">
        <is>
          <t>Home remodeling, fast-growing, broad Bay coverage. Verify contact.</t>
        </is>
      </c>
      <c r="N5" s="13" t="inlineStr"/>
      <c r="O5" s="13" t="inlineStr"/>
      <c r="P5" s="13" t="inlineStr">
        <is>
          <t>No</t>
        </is>
      </c>
    </row>
    <row r="6">
      <c r="A6" s="13" t="inlineStr">
        <is>
          <t>Together Home Remodeling</t>
        </is>
      </c>
      <c r="B6" s="13" t="inlineStr"/>
      <c r="C6" s="13" t="inlineStr"/>
      <c r="D6" s="13" t="inlineStr"/>
      <c r="E6" s="13" t="inlineStr">
        <is>
          <t>Whole home</t>
        </is>
      </c>
      <c r="F6" s="13" t="inlineStr">
        <is>
          <t>San Francisco</t>
        </is>
      </c>
      <c r="G6" s="13" t="inlineStr">
        <is>
          <t>CA</t>
        </is>
      </c>
      <c r="H6" s="13" t="inlineStr">
        <is>
          <t>Other</t>
        </is>
      </c>
      <c r="I6" s="13" t="inlineStr">
        <is>
          <t>Not contacted</t>
        </is>
      </c>
      <c r="J6" s="13" t="inlineStr"/>
      <c r="K6" s="13" t="inlineStr"/>
      <c r="L6" s="13" t="inlineStr"/>
      <c r="M6" s="2" t="inlineStr">
        <is>
          <t>GC, 5-star rated, serves whole Bay Area. Verify contact.</t>
        </is>
      </c>
      <c r="N6" s="13" t="inlineStr"/>
      <c r="O6" s="13" t="inlineStr"/>
      <c r="P6" s="13" t="inlineStr">
        <is>
          <t>No</t>
        </is>
      </c>
    </row>
    <row r="7">
      <c r="A7" s="13" t="inlineStr">
        <is>
          <t>Valex Construction</t>
        </is>
      </c>
      <c r="B7" s="13" t="inlineStr"/>
      <c r="C7" s="13" t="inlineStr"/>
      <c r="D7" s="13" t="inlineStr"/>
      <c r="E7" s="13" t="inlineStr">
        <is>
          <t>Whole home</t>
        </is>
      </c>
      <c r="F7" s="13" t="inlineStr">
        <is>
          <t>San Francisco</t>
        </is>
      </c>
      <c r="G7" s="13" t="inlineStr">
        <is>
          <t>CA</t>
        </is>
      </c>
      <c r="H7" s="13" t="inlineStr">
        <is>
          <t>Other</t>
        </is>
      </c>
      <c r="I7" s="13" t="inlineStr">
        <is>
          <t>Not contacted</t>
        </is>
      </c>
      <c r="J7" s="13" t="inlineStr"/>
      <c r="K7" s="13" t="inlineStr"/>
      <c r="L7" s="13" t="inlineStr"/>
      <c r="M7" s="2" t="inlineStr">
        <is>
          <t>New build + remodel, 30+ yrs (Presler Konstantin). Verify contact.</t>
        </is>
      </c>
      <c r="N7" s="13" t="n">
        <v>30</v>
      </c>
      <c r="O7" s="13" t="inlineStr"/>
      <c r="P7" s="13" t="inlineStr">
        <is>
          <t>No</t>
        </is>
      </c>
    </row>
    <row r="8">
      <c r="A8" s="13" t="inlineStr">
        <is>
          <t>Duffin Contractors</t>
        </is>
      </c>
      <c r="B8" s="13" t="inlineStr"/>
      <c r="C8" s="13" t="inlineStr"/>
      <c r="D8" s="13" t="inlineStr"/>
      <c r="E8" s="13" t="inlineStr">
        <is>
          <t>Whole home</t>
        </is>
      </c>
      <c r="F8" s="13" t="inlineStr">
        <is>
          <t>San Francisco</t>
        </is>
      </c>
      <c r="G8" s="13" t="inlineStr">
        <is>
          <t>CA</t>
        </is>
      </c>
      <c r="H8" s="13" t="inlineStr">
        <is>
          <t>Other</t>
        </is>
      </c>
      <c r="I8" s="13" t="inlineStr">
        <is>
          <t>Not contacted</t>
        </is>
      </c>
      <c r="J8" s="13" t="inlineStr"/>
      <c r="K8" s="13" t="inlineStr"/>
      <c r="L8" s="13" t="inlineStr"/>
      <c r="M8" s="2" t="inlineStr">
        <is>
          <t>High-end custom GC, custom builds/additions. Verify contact.</t>
        </is>
      </c>
      <c r="N8" s="13" t="inlineStr"/>
      <c r="O8" s="13" t="inlineStr"/>
      <c r="P8" s="13" t="inlineStr">
        <is>
          <t>No</t>
        </is>
      </c>
    </row>
    <row r="9">
      <c r="A9" s="13" t="inlineStr">
        <is>
          <t>HDR Remodeling</t>
        </is>
      </c>
      <c r="B9" s="13" t="inlineStr"/>
      <c r="C9" s="13" t="inlineStr"/>
      <c r="D9" s="13" t="inlineStr"/>
      <c r="E9" s="13" t="inlineStr">
        <is>
          <t>Whole home</t>
        </is>
      </c>
      <c r="F9" s="13" t="inlineStr">
        <is>
          <t>Berkeley</t>
        </is>
      </c>
      <c r="G9" s="13" t="inlineStr">
        <is>
          <t>CA</t>
        </is>
      </c>
      <c r="H9" s="13" t="inlineStr">
        <is>
          <t>Other</t>
        </is>
      </c>
      <c r="I9" s="13" t="inlineStr">
        <is>
          <t>Not contacted</t>
        </is>
      </c>
      <c r="J9" s="13" t="inlineStr"/>
      <c r="K9" s="13" t="inlineStr"/>
      <c r="L9" s="13" t="inlineStr"/>
      <c r="M9" s="2" t="inlineStr">
        <is>
          <t>hdrremodeling.com. Design-build, since 1987, East Bay focus. Found via Houzz.</t>
        </is>
      </c>
      <c r="N9" s="13" t="n">
        <v>39</v>
      </c>
      <c r="O9" s="13" t="inlineStr"/>
      <c r="P9" s="13" t="inlineStr">
        <is>
          <t>No</t>
        </is>
      </c>
    </row>
    <row r="10">
      <c r="A10" s="13" t="inlineStr">
        <is>
          <t>Custom Kitchens</t>
        </is>
      </c>
      <c r="B10" s="13" t="inlineStr"/>
      <c r="C10" s="13" t="inlineStr"/>
      <c r="D10" s="13" t="inlineStr"/>
      <c r="E10" s="13" t="inlineStr">
        <is>
          <t>Kitchen</t>
        </is>
      </c>
      <c r="F10" s="13" t="inlineStr">
        <is>
          <t>Oakland</t>
        </is>
      </c>
      <c r="G10" s="13" t="inlineStr">
        <is>
          <t>CA</t>
        </is>
      </c>
      <c r="H10" s="13" t="inlineStr">
        <is>
          <t>Other</t>
        </is>
      </c>
      <c r="I10" s="13" t="inlineStr">
        <is>
          <t>Not contacted</t>
        </is>
      </c>
      <c r="J10" s="13" t="inlineStr"/>
      <c r="K10" s="13" t="inlineStr"/>
      <c r="L10" s="13" t="inlineStr"/>
      <c r="M10" s="2" t="inlineStr">
        <is>
          <t>Kitchen/bath/design, est. 1950, NARI award. Found via Oakland Magazine.</t>
        </is>
      </c>
      <c r="N10" s="13" t="n">
        <v>75</v>
      </c>
      <c r="O10" s="13" t="inlineStr"/>
      <c r="P10" s="13" t="inlineStr">
        <is>
          <t>No</t>
        </is>
      </c>
    </row>
    <row r="11">
      <c r="A11" s="13" t="inlineStr">
        <is>
          <t>DLR Custom Builders</t>
        </is>
      </c>
      <c r="B11" s="13" t="inlineStr"/>
      <c r="C11" s="13" t="inlineStr"/>
      <c r="D11" s="13" t="inlineStr"/>
      <c r="E11" s="13" t="inlineStr">
        <is>
          <t>Whole home</t>
        </is>
      </c>
      <c r="F11" s="13" t="inlineStr">
        <is>
          <t>Berkeley</t>
        </is>
      </c>
      <c r="G11" s="13" t="inlineStr">
        <is>
          <t>CA</t>
        </is>
      </c>
      <c r="H11" s="13" t="inlineStr">
        <is>
          <t>Other</t>
        </is>
      </c>
      <c r="I11" s="13" t="inlineStr">
        <is>
          <t>Not contacted</t>
        </is>
      </c>
      <c r="J11" s="13" t="inlineStr"/>
      <c r="K11" s="13" t="inlineStr"/>
      <c r="L11" s="13" t="inlineStr"/>
      <c r="M11" s="2" t="inlineStr">
        <is>
          <t>Custom GC — Berkeley/Oakland/Piedmont, 39 yrs. Verify contact.</t>
        </is>
      </c>
      <c r="N11" s="13" t="n">
        <v>39</v>
      </c>
      <c r="O11" s="13" t="inlineStr"/>
      <c r="P11" s="13" t="inlineStr">
        <is>
          <t>No</t>
        </is>
      </c>
    </row>
    <row r="12">
      <c r="A12" s="13" t="inlineStr">
        <is>
          <t>Element Home Remodeling</t>
        </is>
      </c>
      <c r="B12" s="13" t="inlineStr"/>
      <c r="C12" s="13" t="inlineStr"/>
      <c r="D12" s="13" t="inlineStr"/>
      <c r="E12" s="13" t="inlineStr">
        <is>
          <t>Whole home</t>
        </is>
      </c>
      <c r="F12" s="13" t="inlineStr">
        <is>
          <t>Oakland</t>
        </is>
      </c>
      <c r="G12" s="13" t="inlineStr">
        <is>
          <t>CA</t>
        </is>
      </c>
      <c r="H12" s="13" t="inlineStr">
        <is>
          <t>Other</t>
        </is>
      </c>
      <c r="I12" s="13" t="inlineStr">
        <is>
          <t>Not contacted</t>
        </is>
      </c>
      <c r="J12" s="13" t="inlineStr"/>
      <c r="K12" s="13" t="inlineStr"/>
      <c r="L12" s="13" t="inlineStr"/>
      <c r="M12" s="2" t="inlineStr">
        <is>
          <t>elementhomeremodelingeastbay.com. Design-build, East Bay.</t>
        </is>
      </c>
      <c r="N12" s="13" t="inlineStr"/>
      <c r="O12" s="13" t="inlineStr"/>
      <c r="P12" s="13" t="inlineStr">
        <is>
          <t>No</t>
        </is>
      </c>
    </row>
    <row r="13">
      <c r="A13" s="13" t="inlineStr">
        <is>
          <t>Building Lab</t>
        </is>
      </c>
      <c r="B13" s="13" t="inlineStr"/>
      <c r="C13" s="13" t="inlineStr"/>
      <c r="D13" s="13" t="inlineStr"/>
      <c r="E13" s="13" t="inlineStr">
        <is>
          <t>Whole home</t>
        </is>
      </c>
      <c r="F13" s="13" t="inlineStr">
        <is>
          <t>Oakland</t>
        </is>
      </c>
      <c r="G13" s="13" t="inlineStr">
        <is>
          <t>CA</t>
        </is>
      </c>
      <c r="H13" s="13" t="inlineStr">
        <is>
          <t>Other</t>
        </is>
      </c>
      <c r="I13" s="13" t="inlineStr">
        <is>
          <t>Not contacted</t>
        </is>
      </c>
      <c r="J13" s="13" t="inlineStr"/>
      <c r="K13" s="13" t="inlineStr"/>
      <c r="L13" s="13" t="inlineStr"/>
      <c r="M13" s="2" t="inlineStr">
        <is>
          <t>Remodel, award-winning (REMMIES winner). Verify contact.</t>
        </is>
      </c>
      <c r="N13" s="13" t="inlineStr"/>
      <c r="O13" s="13" t="inlineStr"/>
      <c r="P13" s="13" t="inlineStr">
        <is>
          <t>No</t>
        </is>
      </c>
    </row>
    <row r="14">
      <c r="A14" s="13" t="inlineStr">
        <is>
          <t>FMS Projects, Inc.</t>
        </is>
      </c>
      <c r="B14" s="13" t="inlineStr"/>
      <c r="C14" s="13" t="inlineStr"/>
      <c r="D14" s="13" t="inlineStr"/>
      <c r="E14" s="13" t="inlineStr">
        <is>
          <t>Kitchen</t>
        </is>
      </c>
      <c r="F14" s="13" t="inlineStr">
        <is>
          <t>Oakland</t>
        </is>
      </c>
      <c r="G14" s="13" t="inlineStr">
        <is>
          <t>CA</t>
        </is>
      </c>
      <c r="H14" s="13" t="inlineStr">
        <is>
          <t>Other</t>
        </is>
      </c>
      <c r="I14" s="13" t="inlineStr">
        <is>
          <t>Not contacted</t>
        </is>
      </c>
      <c r="J14" s="13" t="inlineStr"/>
      <c r="K14" s="13" t="inlineStr"/>
      <c r="L14" s="13" t="inlineStr"/>
      <c r="M14" s="2" t="inlineStr">
        <is>
          <t>High-end kitchen/bath, since 1987. Verify contact.</t>
        </is>
      </c>
      <c r="N14" s="13" t="n">
        <v>39</v>
      </c>
      <c r="O14" s="13" t="inlineStr"/>
      <c r="P14" s="13" t="inlineStr">
        <is>
          <t>No</t>
        </is>
      </c>
    </row>
    <row r="15">
      <c r="A15" s="13" t="inlineStr">
        <is>
          <t>Sigura Construction, Inc.</t>
        </is>
      </c>
      <c r="B15" s="13" t="inlineStr"/>
      <c r="C15" s="13" t="inlineStr"/>
      <c r="D15" s="13" t="inlineStr"/>
      <c r="E15" s="13" t="inlineStr">
        <is>
          <t>Whole home</t>
        </is>
      </c>
      <c r="F15" s="13" t="inlineStr">
        <is>
          <t>San Jose</t>
        </is>
      </c>
      <c r="G15" s="13" t="inlineStr">
        <is>
          <t>CA</t>
        </is>
      </c>
      <c r="H15" s="13" t="inlineStr">
        <is>
          <t>Other</t>
        </is>
      </c>
      <c r="I15" s="13" t="inlineStr">
        <is>
          <t>Not contacted</t>
        </is>
      </c>
      <c r="J15" s="13" t="inlineStr"/>
      <c r="K15" s="13" t="inlineStr"/>
      <c r="L15" s="13" t="inlineStr"/>
      <c r="M15" s="2" t="inlineStr">
        <is>
          <t>siguraconstruction.com. Custom home builder.</t>
        </is>
      </c>
      <c r="N15" s="13" t="inlineStr"/>
      <c r="O15" s="13" t="inlineStr"/>
      <c r="P15" s="13" t="inlineStr">
        <is>
          <t>No</t>
        </is>
      </c>
    </row>
    <row r="16">
      <c r="A16" s="13" t="inlineStr">
        <is>
          <t>EBCON Corporation</t>
        </is>
      </c>
      <c r="B16" s="13" t="inlineStr"/>
      <c r="C16" s="13" t="inlineStr"/>
      <c r="D16" s="13" t="inlineStr"/>
      <c r="E16" s="13" t="inlineStr">
        <is>
          <t>Whole home</t>
        </is>
      </c>
      <c r="F16" s="13" t="inlineStr">
        <is>
          <t>Palo Alto</t>
        </is>
      </c>
      <c r="G16" s="13" t="inlineStr">
        <is>
          <t>CA</t>
        </is>
      </c>
      <c r="H16" s="13" t="inlineStr">
        <is>
          <t>Other</t>
        </is>
      </c>
      <c r="I16" s="13" t="inlineStr">
        <is>
          <t>Not contacted</t>
        </is>
      </c>
      <c r="J16" s="13" t="inlineStr"/>
      <c r="K16" s="13" t="inlineStr"/>
      <c r="L16" s="13" t="inlineStr"/>
      <c r="M16" s="2" t="inlineStr">
        <is>
          <t>Remodel GC, Peninsula, 20+ yrs. Verify contact.</t>
        </is>
      </c>
      <c r="N16" s="13" t="n">
        <v>20</v>
      </c>
      <c r="O16" s="13" t="inlineStr"/>
      <c r="P16" s="13" t="inlineStr">
        <is>
          <t>No</t>
        </is>
      </c>
    </row>
    <row r="17">
      <c r="A17" s="13" t="inlineStr">
        <is>
          <t>Green Planet Remodeling, Inc.</t>
        </is>
      </c>
      <c r="B17" s="13" t="inlineStr"/>
      <c r="C17" s="13" t="inlineStr"/>
      <c r="D17" s="13" t="inlineStr"/>
      <c r="E17" s="13" t="inlineStr">
        <is>
          <t>Whole home</t>
        </is>
      </c>
      <c r="F17" s="13" t="inlineStr">
        <is>
          <t>San Jose</t>
        </is>
      </c>
      <c r="G17" s="13" t="inlineStr">
        <is>
          <t>CA</t>
        </is>
      </c>
      <c r="H17" s="13" t="inlineStr">
        <is>
          <t>Other</t>
        </is>
      </c>
      <c r="I17" s="13" t="inlineStr">
        <is>
          <t>Not contacted</t>
        </is>
      </c>
      <c r="J17" s="13" t="inlineStr"/>
      <c r="K17" s="13" t="inlineStr"/>
      <c r="L17" s="13" t="inlineStr"/>
      <c r="M17" s="2" t="inlineStr">
        <is>
          <t>Eco remodeling, 5x Best of Houzz. Verify contact.</t>
        </is>
      </c>
      <c r="N17" s="13" t="inlineStr"/>
      <c r="O17" s="13" t="inlineStr"/>
      <c r="P17" s="13" t="inlineStr">
        <is>
          <t>No</t>
        </is>
      </c>
    </row>
    <row r="18">
      <c r="A18" s="13" t="inlineStr">
        <is>
          <t>Level Up Home Remodeling</t>
        </is>
      </c>
      <c r="B18" s="13" t="inlineStr"/>
      <c r="C18" s="13" t="inlineStr"/>
      <c r="D18" s="13" t="inlineStr"/>
      <c r="E18" s="13" t="inlineStr">
        <is>
          <t>Whole home</t>
        </is>
      </c>
      <c r="F18" s="13" t="inlineStr">
        <is>
          <t>San Jose</t>
        </is>
      </c>
      <c r="G18" s="13" t="inlineStr">
        <is>
          <t>CA</t>
        </is>
      </c>
      <c r="H18" s="13" t="inlineStr">
        <is>
          <t>Other</t>
        </is>
      </c>
      <c r="I18" s="13" t="inlineStr">
        <is>
          <t>Not contacted</t>
        </is>
      </c>
      <c r="J18" s="13" t="inlineStr"/>
      <c r="K18" s="13" t="inlineStr"/>
      <c r="L18" s="13" t="inlineStr"/>
      <c r="M18" s="2" t="inlineStr">
        <is>
          <t>Remodel, Silicon Valley since 2010. Verify contact.</t>
        </is>
      </c>
      <c r="N18" s="13" t="n">
        <v>16</v>
      </c>
      <c r="O18" s="13" t="inlineStr"/>
      <c r="P18" s="13" t="inlineStr">
        <is>
          <t>No</t>
        </is>
      </c>
    </row>
    <row r="19">
      <c r="A19" s="13" t="inlineStr">
        <is>
          <t>Valley Boutique Builders</t>
        </is>
      </c>
      <c r="B19" s="13" t="inlineStr"/>
      <c r="C19" s="13" t="inlineStr"/>
      <c r="D19" s="13" t="inlineStr"/>
      <c r="E19" s="13" t="inlineStr">
        <is>
          <t>Whole home</t>
        </is>
      </c>
      <c r="F19" s="13" t="inlineStr">
        <is>
          <t>San Jose</t>
        </is>
      </c>
      <c r="G19" s="13" t="inlineStr">
        <is>
          <t>CA</t>
        </is>
      </c>
      <c r="H19" s="13" t="inlineStr">
        <is>
          <t>Other</t>
        </is>
      </c>
      <c r="I19" s="13" t="inlineStr">
        <is>
          <t>Not contacted</t>
        </is>
      </c>
      <c r="J19" s="13" t="inlineStr"/>
      <c r="K19" s="13" t="inlineStr"/>
      <c r="L19" s="13" t="inlineStr"/>
      <c r="M19" s="2" t="inlineStr">
        <is>
          <t>valleyboutiquebuilders.com. GC, San Jose.</t>
        </is>
      </c>
      <c r="N19" s="13" t="inlineStr"/>
      <c r="O19" s="13" t="inlineStr"/>
      <c r="P19" s="13" t="inlineStr">
        <is>
          <t>No</t>
        </is>
      </c>
    </row>
    <row r="20">
      <c r="A20" s="13" t="inlineStr">
        <is>
          <t>JEB3 Construction</t>
        </is>
      </c>
      <c r="B20" s="13" t="inlineStr"/>
      <c r="C20" s="13" t="inlineStr"/>
      <c r="D20" s="13" t="inlineStr"/>
      <c r="E20" s="13" t="inlineStr">
        <is>
          <t>Whole home</t>
        </is>
      </c>
      <c r="F20" s="13" t="inlineStr">
        <is>
          <t>San Jose</t>
        </is>
      </c>
      <c r="G20" s="13" t="inlineStr">
        <is>
          <t>CA</t>
        </is>
      </c>
      <c r="H20" s="13" t="inlineStr">
        <is>
          <t>Other</t>
        </is>
      </c>
      <c r="I20" s="13" t="inlineStr">
        <is>
          <t>Not contacted</t>
        </is>
      </c>
      <c r="J20" s="13" t="inlineStr"/>
      <c r="K20" s="13" t="inlineStr"/>
      <c r="L20" s="13" t="inlineStr"/>
      <c r="M20" s="2" t="inlineStr">
        <is>
          <t>Luxury renovation, since 2003. Verify contact.</t>
        </is>
      </c>
      <c r="N20" s="13" t="n">
        <v>23</v>
      </c>
      <c r="O20" s="13" t="inlineStr"/>
      <c r="P20" s="13" t="inlineStr">
        <is>
          <t>No</t>
        </is>
      </c>
    </row>
    <row r="21">
      <c r="A21" s="13" t="inlineStr">
        <is>
          <t>Woodcliff Builders</t>
        </is>
      </c>
      <c r="B21" s="13" t="inlineStr"/>
      <c r="C21" s="13" t="inlineStr"/>
      <c r="D21" s="13" t="inlineStr"/>
      <c r="E21" s="13" t="inlineStr">
        <is>
          <t>Whole home</t>
        </is>
      </c>
      <c r="F21" s="13" t="inlineStr">
        <is>
          <t>Palo Alto</t>
        </is>
      </c>
      <c r="G21" s="13" t="inlineStr">
        <is>
          <t>CA</t>
        </is>
      </c>
      <c r="H21" s="13" t="inlineStr">
        <is>
          <t>Other</t>
        </is>
      </c>
      <c r="I21" s="13" t="inlineStr">
        <is>
          <t>Not contacted</t>
        </is>
      </c>
      <c r="J21" s="13" t="inlineStr"/>
      <c r="K21" s="13" t="inlineStr"/>
      <c r="L21" s="13" t="inlineStr"/>
      <c r="M21" s="2" t="inlineStr">
        <is>
          <t>GC, Palo Alto area. Found via BuildZoom/Houzz. Verify contact.</t>
        </is>
      </c>
      <c r="N21" s="13" t="inlineStr"/>
      <c r="O21" s="13" t="inlineStr"/>
      <c r="P21" s="13" t="inlineStr">
        <is>
          <t>No</t>
        </is>
      </c>
    </row>
    <row r="22">
      <c r="A22" s="13" t="inlineStr">
        <is>
          <t>Longshore Handyman</t>
        </is>
      </c>
      <c r="B22" s="13" t="inlineStr"/>
      <c r="C22" s="13" t="inlineStr"/>
      <c r="D22" s="13" t="inlineStr"/>
      <c r="E22" s="13" t="inlineStr">
        <is>
          <t>Other</t>
        </is>
      </c>
      <c r="F22" s="13" t="inlineStr">
        <is>
          <t>Walnut Creek</t>
        </is>
      </c>
      <c r="G22" s="13" t="inlineStr">
        <is>
          <t>CA</t>
        </is>
      </c>
      <c r="H22" s="13" t="inlineStr">
        <is>
          <t>Other</t>
        </is>
      </c>
      <c r="I22" s="13" t="inlineStr">
        <is>
          <t>Not contacted</t>
        </is>
      </c>
      <c r="J22" s="13" t="inlineStr"/>
      <c r="K22" s="13" t="inlineStr"/>
      <c r="L22" s="13" t="inlineStr"/>
      <c r="M22" s="2" t="inlineStr">
        <is>
          <t>Home repair — Contra Costa/Alameda/Marin/SF. Text/call. Verify contact.</t>
        </is>
      </c>
      <c r="N22" s="13" t="inlineStr"/>
      <c r="O22" s="13" t="inlineStr"/>
      <c r="P22" s="13" t="inlineStr">
        <is>
          <t>No</t>
        </is>
      </c>
    </row>
    <row r="23">
      <c r="A23" s="13" t="inlineStr">
        <is>
          <t>F&amp;G Handyman (Gabriel Tun)</t>
        </is>
      </c>
      <c r="B23" s="13" t="inlineStr"/>
      <c r="C23" s="13" t="inlineStr"/>
      <c r="D23" s="13" t="inlineStr"/>
      <c r="E23" s="13" t="inlineStr">
        <is>
          <t>Other</t>
        </is>
      </c>
      <c r="F23" s="13" t="inlineStr">
        <is>
          <t>San Jose</t>
        </is>
      </c>
      <c r="G23" s="13" t="inlineStr">
        <is>
          <t>CA</t>
        </is>
      </c>
      <c r="H23" s="13" t="inlineStr">
        <is>
          <t>Other</t>
        </is>
      </c>
      <c r="I23" s="13" t="inlineStr">
        <is>
          <t>Not contacted</t>
        </is>
      </c>
      <c r="J23" s="13" t="inlineStr"/>
      <c r="K23" s="13" t="inlineStr"/>
      <c r="L23" s="13" t="inlineStr"/>
      <c r="M23" s="2" t="inlineStr">
        <is>
          <t>Handyman + small remodel. Text/call. Verify contact.</t>
        </is>
      </c>
      <c r="N23" s="13" t="inlineStr"/>
      <c r="O23" s="13" t="inlineStr"/>
      <c r="P23" s="13" t="inlineStr">
        <is>
          <t>No</t>
        </is>
      </c>
    </row>
    <row r="24">
      <c r="A24" s="13" t="inlineStr">
        <is>
          <t>Mr. Fix Bay Area</t>
        </is>
      </c>
      <c r="B24" s="13" t="inlineStr"/>
      <c r="C24" s="13" t="inlineStr"/>
      <c r="D24" s="13" t="inlineStr"/>
      <c r="E24" s="13" t="inlineStr">
        <is>
          <t>Other</t>
        </is>
      </c>
      <c r="F24" s="13" t="inlineStr">
        <is>
          <t>San Jose</t>
        </is>
      </c>
      <c r="G24" s="13" t="inlineStr">
        <is>
          <t>CA</t>
        </is>
      </c>
      <c r="H24" s="13" t="inlineStr">
        <is>
          <t>Other</t>
        </is>
      </c>
      <c r="I24" s="13" t="inlineStr">
        <is>
          <t>Not contacted</t>
        </is>
      </c>
      <c r="J24" s="13" t="inlineStr"/>
      <c r="K24" s="13" t="inlineStr"/>
      <c r="L24" s="13" t="inlineStr"/>
      <c r="M24" s="2" t="inlineStr">
        <is>
          <t>Full handyman, San Jose area. Text/call. Verify contact.</t>
        </is>
      </c>
      <c r="N24" s="13" t="inlineStr"/>
      <c r="O24" s="13" t="inlineStr"/>
      <c r="P24" s="13" t="inlineStr">
        <is>
          <t>No</t>
        </is>
      </c>
    </row>
  </sheetData>
  <autoFilter ref="A1:P1000"/>
  <conditionalFormatting sqref="I2:I1000">
    <cfRule type="cellIs" priority="1" operator="equal" dxfId="0">
      <formula>"Signed up"</formula>
    </cfRule>
    <cfRule type="cellIs" priority="2" operator="equal" dxfId="0">
      <formula>"On platform"</formula>
    </cfRule>
    <cfRule type="cellIs" priority="3" operator="equal" dxfId="1">
      <formula>"Replied"</formula>
    </cfRule>
    <cfRule type="cellIs" priority="4" operator="equal" dxfId="1">
      <formula>"Demo scheduled"</formula>
    </cfRule>
    <cfRule type="cellIs" priority="5" operator="equal" dxfId="1">
      <formula>"Contacted"</formula>
    </cfRule>
    <cfRule type="cellIs" priority="6" operator="equal" dxfId="2">
      <formula>"Declined"</formula>
    </cfRule>
    <cfRule type="cellIs" priority="7" operator="equal" dxfId="2">
      <formula>"Unresponsive"</formula>
    </cfRule>
  </conditionalFormatting>
  <dataValidations count="5">
    <dataValidation sqref="E2:E1000" showDropDown="0" showInputMessage="0" showErrorMessage="0" allowBlank="1" type="list">
      <formula1>"Kitchen,Bathroom,Whole home,Exterior,Roofing,Flooring,Electrical,Plumbing,Other"</formula1>
    </dataValidation>
    <dataValidation sqref="H2:H1000" showDropDown="0" showInputMessage="0" showErrorMessage="0" allowBlank="1" type="list">
      <formula1>"Yelp,Google,Instagram,Referral,Cold outreach,In-person,Other"</formula1>
    </dataValidation>
    <dataValidation sqref="I2:I1000" showDropDown="0" showInputMessage="0" showErrorMessage="0" allowBlank="1" type="list">
      <formula1>"Not contacted,Contacted,Replied,Demo scheduled,Signed up,On platform,Declined,Unresponsive"</formula1>
    </dataValidation>
    <dataValidation sqref="O2:O1000" showDropDown="0" showInputMessage="0" showErrorMessage="0" allowBlank="1" type="list">
      <formula1>"Yes,No"</formula1>
    </dataValidation>
    <dataValidation sqref="P2:P1000"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6" customWidth="1" min="3" max="3"/>
    <col width="16" customWidth="1" min="4" max="4"/>
    <col width="7" customWidth="1" min="5" max="5"/>
    <col width="16" customWidth="1" min="6" max="6"/>
    <col width="14" customWidth="1" min="7" max="7"/>
    <col width="16" customWidth="1" min="8" max="8"/>
    <col width="16" customWidth="1" min="9" max="9"/>
    <col width="18" customWidth="1" min="10" max="10"/>
    <col width="18" customWidth="1" min="11" max="11"/>
    <col width="22" customWidth="1" min="12" max="12"/>
    <col width="16" customWidth="1" min="13" max="13"/>
    <col width="12" customWidth="1" min="14" max="14"/>
    <col width="38" customWidth="1" min="15" max="15"/>
  </cols>
  <sheetData>
    <row r="1" ht="32" customHeight="1">
      <c r="A1" s="8" t="inlineStr">
        <is>
          <t>Name</t>
        </is>
      </c>
      <c r="B1" s="8" t="inlineStr">
        <is>
          <t>Email</t>
        </is>
      </c>
      <c r="C1" s="8" t="inlineStr">
        <is>
          <t>Phone</t>
        </is>
      </c>
      <c r="D1" s="8" t="inlineStr">
        <is>
          <t>City</t>
        </is>
      </c>
      <c r="E1" s="8" t="inlineStr">
        <is>
          <t>State</t>
        </is>
      </c>
      <c r="F1" s="8" t="inlineStr">
        <is>
          <t>Project interest</t>
        </is>
      </c>
      <c r="G1" s="8" t="inlineStr">
        <is>
          <t>Estimated budget</t>
        </is>
      </c>
      <c r="H1" s="8" t="inlineStr">
        <is>
          <t>Source</t>
        </is>
      </c>
      <c r="I1" s="8" t="inlineStr">
        <is>
          <t>Status</t>
        </is>
      </c>
      <c r="J1" s="8" t="inlineStr">
        <is>
          <t>First contact date</t>
        </is>
      </c>
      <c r="K1" s="8" t="inlineStr">
        <is>
          <t>Last contact date</t>
        </is>
      </c>
      <c r="L1" s="8" t="inlineStr">
        <is>
          <t>Project request posted</t>
        </is>
      </c>
      <c r="M1" s="8" t="inlineStr">
        <is>
          <t>Quote received</t>
        </is>
      </c>
      <c r="N1" s="8" t="inlineStr">
        <is>
          <t>Deposit paid</t>
        </is>
      </c>
      <c r="O1" s="8" t="inlineStr">
        <is>
          <t>Notes</t>
        </is>
      </c>
    </row>
    <row r="2">
      <c r="A2" s="5" t="inlineStr">
        <is>
          <t>Jamie Rivera</t>
        </is>
      </c>
      <c r="B2" s="5" t="inlineStr">
        <is>
          <t>jamie@example.com</t>
        </is>
      </c>
      <c r="C2" s="5" t="inlineStr">
        <is>
          <t>(415) 555-0210</t>
        </is>
      </c>
      <c r="D2" s="5" t="inlineStr">
        <is>
          <t>Oakland</t>
        </is>
      </c>
      <c r="E2" s="5" t="inlineStr">
        <is>
          <t>CA</t>
        </is>
      </c>
      <c r="F2" s="5" t="inlineStr">
        <is>
          <t>Kitchen</t>
        </is>
      </c>
      <c r="G2" s="5" t="inlineStr">
        <is>
          <t>$50-100k</t>
        </is>
      </c>
      <c r="H2" s="5" t="inlineStr">
        <is>
          <t>Friend</t>
        </is>
      </c>
      <c r="I2" s="5" t="inlineStr">
        <is>
          <t>Active user</t>
        </is>
      </c>
      <c r="J2" s="9" t="inlineStr">
        <is>
          <t>2026-06-02</t>
        </is>
      </c>
      <c r="K2" s="9" t="inlineStr">
        <is>
          <t>2026-06-09</t>
        </is>
      </c>
      <c r="L2" s="5" t="inlineStr">
        <is>
          <t>Yes</t>
        </is>
      </c>
      <c r="M2" s="5" t="inlineStr">
        <is>
          <t>Yes</t>
        </is>
      </c>
      <c r="N2" s="5" t="inlineStr">
        <is>
          <t>Yes</t>
        </is>
      </c>
      <c r="O2" s="5" t="inlineStr">
        <is>
          <t>(example — delete me) Hired Bright Kitchens, milestone 1 funded.</t>
        </is>
      </c>
    </row>
    <row r="3">
      <c r="A3" s="5" t="inlineStr">
        <is>
          <t>Priya Patel</t>
        </is>
      </c>
      <c r="B3" s="5" t="inlineStr">
        <is>
          <t>priya@example.com</t>
        </is>
      </c>
      <c r="C3" s="5" t="inlineStr">
        <is>
          <t>(510) 555-0277</t>
        </is>
      </c>
      <c r="D3" s="5" t="inlineStr">
        <is>
          <t>Berkeley</t>
        </is>
      </c>
      <c r="E3" s="5" t="inlineStr">
        <is>
          <t>CA</t>
        </is>
      </c>
      <c r="F3" s="5" t="inlineStr">
        <is>
          <t>Bathroom</t>
        </is>
      </c>
      <c r="G3" s="5" t="inlineStr">
        <is>
          <t>$15-50k</t>
        </is>
      </c>
      <c r="H3" s="5" t="inlineStr">
        <is>
          <t>Referral</t>
        </is>
      </c>
      <c r="I3" s="5" t="inlineStr">
        <is>
          <t>Contacted</t>
        </is>
      </c>
      <c r="J3" s="9" t="inlineStr">
        <is>
          <t>2026-06-05</t>
        </is>
      </c>
      <c r="K3" s="9" t="inlineStr">
        <is>
          <t>2026-06-09</t>
        </is>
      </c>
      <c r="L3" s="5" t="inlineStr">
        <is>
          <t>Yes</t>
        </is>
      </c>
      <c r="M3" s="5" t="inlineStr">
        <is>
          <t>No</t>
        </is>
      </c>
      <c r="N3" s="5" t="inlineStr">
        <is>
          <t>No</t>
        </is>
      </c>
      <c r="O3" s="5" t="inlineStr">
        <is>
          <t>(example — delete me) Wants 3 quotes by end of month.</t>
        </is>
      </c>
    </row>
    <row r="4">
      <c r="A4" s="5" t="inlineStr">
        <is>
          <t>Sam Brooks</t>
        </is>
      </c>
      <c r="B4" s="5" t="inlineStr">
        <is>
          <t>sam@example.com</t>
        </is>
      </c>
      <c r="C4" s="5" t="inlineStr">
        <is>
          <t>(415) 555-0354</t>
        </is>
      </c>
      <c r="D4" s="5" t="inlineStr">
        <is>
          <t>San Francisco</t>
        </is>
      </c>
      <c r="E4" s="5" t="inlineStr">
        <is>
          <t>CA</t>
        </is>
      </c>
      <c r="F4" s="5" t="inlineStr">
        <is>
          <t>Just browsing</t>
        </is>
      </c>
      <c r="G4" s="5" t="inlineStr">
        <is>
          <t>Unknown</t>
        </is>
      </c>
      <c r="H4" s="5" t="inlineStr">
        <is>
          <t>Social media</t>
        </is>
      </c>
      <c r="I4" s="5" t="inlineStr">
        <is>
          <t>Lead</t>
        </is>
      </c>
      <c r="J4" s="9" t="inlineStr">
        <is>
          <t>2026-06-07</t>
        </is>
      </c>
      <c r="K4" s="9" t="inlineStr">
        <is>
          <t>2026-06-07</t>
        </is>
      </c>
      <c r="L4" s="5" t="inlineStr">
        <is>
          <t>No</t>
        </is>
      </c>
      <c r="M4" s="5" t="inlineStr">
        <is>
          <t>No</t>
        </is>
      </c>
      <c r="N4" s="5" t="inlineStr">
        <is>
          <t>No</t>
        </is>
      </c>
      <c r="O4" s="5" t="inlineStr">
        <is>
          <t>(example — delete me) Followed our IG, no project yet.</t>
        </is>
      </c>
    </row>
  </sheetData>
  <autoFilter ref="A1:O1000"/>
  <conditionalFormatting sqref="I2:I1000">
    <cfRule type="cellIs" priority="1" operator="equal" dxfId="0">
      <formula>"Active user"</formula>
    </cfRule>
    <cfRule type="cellIs" priority="2" operator="equal" dxfId="0">
      <formula>"Signed up"</formula>
    </cfRule>
    <cfRule type="cellIs" priority="3" operator="equal" dxfId="1">
      <formula>"Contacted"</formula>
    </cfRule>
    <cfRule type="cellIs" priority="4" operator="equal" dxfId="1">
      <formula>"Lead"</formula>
    </cfRule>
    <cfRule type="cellIs" priority="5" operator="equal" dxfId="2">
      <formula>"Churned"</formula>
    </cfRule>
    <cfRule type="cellIs" priority="6" operator="equal" dxfId="2">
      <formula>"Declined"</formula>
    </cfRule>
  </conditionalFormatting>
  <dataValidations count="7">
    <dataValidation sqref="F2:F1000" showDropDown="0" showInputMessage="0" showErrorMessage="0" allowBlank="1" type="list">
      <formula1>"Kitchen,Bathroom,Whole home,Exterior,Multiple,Just browsing"</formula1>
    </dataValidation>
    <dataValidation sqref="G2:G1000" showDropDown="0" showInputMessage="0" showErrorMessage="0" allowBlank="1" type="list">
      <formula1>"&lt;$5k,$5-15k,$15-50k,$50-100k,$100k+,Unknown"</formula1>
    </dataValidation>
    <dataValidation sqref="H2:H1000" showDropDown="0" showInputMessage="0" showErrorMessage="0" allowBlank="1" type="list">
      <formula1>"Referral,Friend,Social media,Cold outreach,Inbound,Other"</formula1>
    </dataValidation>
    <dataValidation sqref="I2:I1000" showDropDown="0" showInputMessage="0" showErrorMessage="0" allowBlank="1" type="list">
      <formula1>"Lead,Contacted,Signed up,Active user,Churned,Declined"</formula1>
    </dataValidation>
    <dataValidation sqref="L2:L1000" showDropDown="0" showInputMessage="0" showErrorMessage="0" allowBlank="1" type="list">
      <formula1>"Yes,No"</formula1>
    </dataValidation>
    <dataValidation sqref="M2:M1000" showDropDown="0" showInputMessage="0" showErrorMessage="0" allowBlank="1" type="list">
      <formula1>"Yes,No"</formula1>
    </dataValidation>
    <dataValidation sqref="N2:N1000"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2"/>
  <sheetViews>
    <sheetView showGridLines="0" workbookViewId="0">
      <selection activeCell="A1" sqref="A1"/>
    </sheetView>
  </sheetViews>
  <sheetFormatPr baseColWidth="8" defaultRowHeight="15"/>
  <cols>
    <col width="100" customWidth="1" min="1" max="1"/>
  </cols>
  <sheetData>
    <row r="1">
      <c r="A1" s="15" t="inlineStr">
        <is>
          <t>Outreach Scripts &amp; Playbook</t>
        </is>
      </c>
    </row>
    <row r="3">
      <c r="A3" s="16" t="inlineStr">
        <is>
          <t>Channel priority</t>
        </is>
      </c>
    </row>
    <row r="4">
      <c r="A4" s="2" t="inlineStr">
        <is>
          <t>(1) warm intro if any  →  (2) Instagram DM for IG-active remodelers  →  (3) personalized email  →  (4) phone call to the office. Solo operators: text/call. Aim for 30–50 contacts to land 10–15 founders.</t>
        </is>
      </c>
    </row>
    <row r="6">
      <c r="A6" s="16" t="inlineStr">
        <is>
          <t>The offer — why they say yes</t>
        </is>
      </c>
    </row>
    <row r="7">
      <c r="A7" s="2" t="inlineStr">
        <is>
          <t>Free FOUNDING CONTRACTOR listing, framed as scarcity + status:</t>
        </is>
      </c>
    </row>
    <row r="8">
      <c r="A8" s="2" t="inlineStr">
        <is>
          <t>•  Free verified profile with top search placement at launch (no lead fees, ever — our anti-Thumbtack differentiator).</t>
        </is>
      </c>
    </row>
    <row r="9">
      <c r="A9" s="2" t="inlineStr">
        <is>
          <t>•  "Verified Pro" badge + a spot in the launch "Verified Pros" carousel.</t>
        </is>
      </c>
    </row>
    <row r="10">
      <c r="A10" s="2" t="inlineStr">
        <is>
          <t>•  We do the setup for them — import photos and reviews, write the profile. Zero effort on their end.</t>
        </is>
      </c>
    </row>
    <row r="11">
      <c r="A11" s="2" t="inlineStr">
        <is>
          <t>•  Free AI estimate tool their own customers can use.</t>
        </is>
      </c>
    </row>
    <row r="12">
      <c r="A12" s="2" t="inlineStr">
        <is>
          <t>•  First N founders locked in (e.g. "first 20 contractors in the East Bay").</t>
        </is>
      </c>
    </row>
    <row r="13">
      <c r="A13" s="2" t="inlineStr">
        <is>
          <t>Ask in return: permission to list them, a few portfolio photos, and ideally a testimonial / willingness to take the first leads.</t>
        </is>
      </c>
    </row>
    <row r="15">
      <c r="A15" s="16" t="inlineStr">
        <is>
          <t>Email template</t>
        </is>
      </c>
    </row>
    <row r="16">
      <c r="A16" s="17" t="inlineStr">
        <is>
          <t>Subject: Free founding spot for [Company] on a new Bay Area renovation app</t>
        </is>
      </c>
    </row>
    <row r="17">
      <c r="A17" s="18" t="inlineStr">
        <is>
          <t>Hi [Name],</t>
        </is>
      </c>
    </row>
    <row r="18">
      <c r="A18" s="18" t="inlineStr">
        <is>
          <t>I came across [Company]'s work on [Houzz/Yelp/IG] — the [kitchen/bath/project] photos are exactly the quality we want to feature.</t>
        </is>
      </c>
    </row>
    <row r="19">
      <c r="A19" s="18" t="inlineStr">
        <is>
          <t>We're launching RenovateConnect, a Bay Area app that connects homeowners with vetted contractors. We're hand-picking a small group of founding contractors to feature for free at launch — top placement, a Verified Pro badge, and no lead fees. We'll set up your whole profile for you from your existing photos and reviews; it takes you zero time.</t>
        </is>
      </c>
    </row>
    <row r="20">
      <c r="A20" s="18" t="inlineStr">
        <is>
          <t>Could I get your OK to feature [Company], and a few project photos to include? Happy to send a mockup of how your profile would look first.</t>
        </is>
      </c>
    </row>
    <row r="21">
      <c r="A21" s="18" t="inlineStr">
        <is>
          <t>[Your name] · RenovateConnect</t>
        </is>
      </c>
    </row>
    <row r="23">
      <c r="A23" s="16" t="inlineStr">
        <is>
          <t>Instagram DM (shorter)</t>
        </is>
      </c>
    </row>
    <row r="24">
      <c r="A24" s="18" t="inlineStr">
        <is>
          <t>Hi! Love [Company]'s remodels 🔨 We're launching a Bay Area renovation app and hand-picking a few founding contractors to feature free at launch — top spot, verified badge, no lead fees, we build the profile for you. Mind if we feature you? Can send a mockup first.</t>
        </is>
      </c>
    </row>
    <row r="26">
      <c r="A26" s="16" t="inlineStr">
        <is>
          <t>Phone script (opener)</t>
        </is>
      </c>
    </row>
    <row r="27">
      <c r="A27" s="18" t="inlineStr">
        <is>
          <t>"Hi, is this [Name]? I run RenovateConnect, a new Bay Area renovation app. We're featuring a handful of top contractors for free at launch — no cost, no lead fees. I'd love your permission to feature [Company]; we handle all the setup. Can I email you a mockup of your profile?"</t>
        </is>
      </c>
    </row>
    <row r="29">
      <c r="A29" s="16" t="inlineStr">
        <is>
          <t>Objection handling</t>
        </is>
      </c>
    </row>
    <row r="30">
      <c r="A30" s="2" t="inlineStr">
        <is>
          <t>"Is this another Thumbtack?"  →  "Opposite — we never charge per lead. Founding listing is free, top placement; you only ever pay a small % if you close a job through the app."</t>
        </is>
      </c>
    </row>
    <row r="31">
      <c r="A31" s="2" t="inlineStr">
        <is>
          <t>"I'm too busy / not taking work."  →  "No setup effort on you — we build it. And you control your availability in the app; turn off leads anytime."</t>
        </is>
      </c>
    </row>
    <row r="32">
      <c r="A32" s="2" t="inlineStr">
        <is>
          <t>"What does it cost later?"  →  Be honest: free founding listing now; future revenue is the 8% deposit commission on jobs booked through the app.</t>
        </is>
      </c>
    </row>
    <row r="34">
      <c r="A34" s="16" t="inlineStr">
        <is>
          <t>Consent &amp; compliance (do this right)</t>
        </is>
      </c>
    </row>
    <row r="35">
      <c r="A35" s="2" t="inlineStr">
        <is>
          <t>•  Get explicit permission before any business appears in the app. A short written OK (email reply "yes, go ahead") is enough to start — keep a record.</t>
        </is>
      </c>
    </row>
    <row r="36">
      <c r="A36" s="2" t="inlineStr">
        <is>
          <t>•  Don't scrape/repost Yelp/Houzz reviews or photos without rights. Ask the contractor to supply their own, or get written permission for specific ones. Reviews are re-earned in-app, not copied.</t>
        </is>
      </c>
    </row>
    <row r="37">
      <c r="A37" s="2" t="inlineStr">
        <is>
          <t>•  Use real, accurate info — verify the CSLB license # is active. Don't imply endorsement they didn't give.</t>
        </is>
      </c>
    </row>
    <row r="38">
      <c r="A38" s="2" t="inlineStr">
        <is>
          <t>•  Offer easy opt-out — "tell us anytime and we'll remove your profile."</t>
        </is>
      </c>
    </row>
    <row r="40">
      <c r="A40" s="16" t="inlineStr">
        <is>
          <t>Funnel target (dense single-metro launch, e.g. East Bay)</t>
        </is>
      </c>
    </row>
    <row r="41">
      <c r="A41" s="2" t="inlineStr">
        <is>
          <t>Contact 40  →  15 say yes  →  10 fully set up with photos = a credible launch roster.</t>
        </is>
      </c>
    </row>
    <row r="42">
      <c r="A42" s="19" t="inlineStr">
        <is>
          <t>Recommendation: pick ONE metro and saturate it before expanding.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40" customWidth="1" min="1" max="1"/>
    <col width="14" customWidth="1" min="2" max="2"/>
  </cols>
  <sheetData>
    <row r="1">
      <c r="A1" s="1" t="inlineStr">
        <is>
          <t>Pipeline Summary</t>
        </is>
      </c>
    </row>
    <row r="3">
      <c r="A3" s="3" t="inlineStr">
        <is>
          <t>Contractors</t>
        </is>
      </c>
    </row>
    <row r="4">
      <c r="A4" s="5" t="inlineStr">
        <is>
          <t>Total in pipeline</t>
        </is>
      </c>
      <c r="B4" s="10">
        <f>COUNTA(Contractors!A2:A1000)</f>
        <v/>
      </c>
    </row>
    <row r="5">
      <c r="A5" s="5" t="inlineStr">
        <is>
          <t>Not yet contacted</t>
        </is>
      </c>
      <c r="B5" s="10">
        <f>COUNTIF(Contractors!I2:I1000,"Not contacted")</f>
        <v/>
      </c>
    </row>
    <row r="6">
      <c r="A6" s="5" t="inlineStr">
        <is>
          <t>Contacted or further</t>
        </is>
      </c>
      <c r="B6" s="10">
        <f>COUNTA(Contractors!I2:I1000)-COUNTIF(Contractors!I2:I1000,"Not contacted")</f>
        <v/>
      </c>
    </row>
    <row r="7">
      <c r="A7" s="5" t="inlineStr">
        <is>
          <t>Replied or further</t>
        </is>
      </c>
      <c r="B7" s="10">
        <f>COUNTIF(Contractors!I2:I1000,"Replied")+COUNTIF(Contractors!I2:I1000,"Demo scheduled")+COUNTIF(Contractors!I2:I1000,"Signed up")+COUNTIF(Contractors!I2:I1000,"On platform")</f>
        <v/>
      </c>
    </row>
    <row r="8">
      <c r="A8" s="5" t="inlineStr">
        <is>
          <t>Signed up + on platform</t>
        </is>
      </c>
      <c r="B8" s="10">
        <f>COUNTIF(Contractors!I2:I1000,"Signed up")+COUNTIF(Contractors!I2:I1000,"On platform")</f>
        <v/>
      </c>
    </row>
    <row r="9">
      <c r="A9" s="5" t="inlineStr">
        <is>
          <t>Declined / unresponsive</t>
        </is>
      </c>
      <c r="B9" s="10">
        <f>COUNTIF(Contractors!I2:I1000,"Declined")+COUNTIF(Contractors!I2:I1000,"Unresponsive")</f>
        <v/>
      </c>
    </row>
    <row r="10">
      <c r="A10" s="5" t="inlineStr">
        <is>
          <t>Conversion rate (signed ÷ contacted)</t>
        </is>
      </c>
      <c r="B10" s="11">
        <f>IFERROR((COUNTIF(Contractors!I2:I1000,"Signed up")+COUNTIF(Contractors!I2:I1000,"On platform"))/(COUNTA(Contractors!I2:I1000)-COUNTIF(Contractors!I2:I1000,"Not contacted")),0)</f>
        <v/>
      </c>
    </row>
    <row r="12">
      <c r="A12" s="3" t="inlineStr">
        <is>
          <t>Homeowners</t>
        </is>
      </c>
    </row>
    <row r="13">
      <c r="A13" s="5" t="inlineStr">
        <is>
          <t>Total leads</t>
        </is>
      </c>
      <c r="B13" s="10">
        <f>COUNTA(Homeowners!A2:A1000)</f>
        <v/>
      </c>
    </row>
    <row r="14">
      <c r="A14" s="5" t="inlineStr">
        <is>
          <t>Contacted or further</t>
        </is>
      </c>
      <c r="B14" s="10">
        <f>COUNTA(Homeowners!I2:I1000)-COUNTIF(Homeowners!I2:I1000,"Lead")</f>
        <v/>
      </c>
    </row>
    <row r="15">
      <c r="A15" s="5" t="inlineStr">
        <is>
          <t>Signed up or active</t>
        </is>
      </c>
      <c r="B15" s="10">
        <f>COUNTIF(Homeowners!I2:I1000,"Signed up")+COUNTIF(Homeowners!I2:I1000,"Active user")</f>
        <v/>
      </c>
    </row>
    <row r="16">
      <c r="A16" s="5" t="inlineStr">
        <is>
          <t>First deposit paid</t>
        </is>
      </c>
      <c r="B16" s="10">
        <f>COUNTIF(Homeowners!N2:N1000,"Yes")</f>
        <v/>
      </c>
    </row>
    <row r="17">
      <c r="A17" s="5" t="inlineStr">
        <is>
          <t>Conversion rate (active ÷ leads)</t>
        </is>
      </c>
      <c r="B17" s="11">
        <f>IFERROR((COUNTIF(Homeowners!I2:I1000,"Signed up")+COUNTIF(Homeowners!I2:I1000,"Active user"))/COUNTA(Homeowners!A2:A1000),0)</f>
        <v/>
      </c>
    </row>
    <row r="20">
      <c r="A20" s="12" t="inlineStr">
        <is>
          <t>Counts update live as you change Status values on the data tabs.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2026-06-15T04:33:39Z</dcterms:created>
  <dcterms:modified xsi:type="dcterms:W3CDTF">2026-06-18T01:48:51Z</dcterms:modified>
</cp:coreProperties>
</file>